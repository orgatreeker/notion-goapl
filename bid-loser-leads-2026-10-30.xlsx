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yers (bid losers)" sheetId="1" state="visible" r:id="rId3"/>
    <sheet name="Sellers" sheetId="2" state="visible" r:id="rId4"/>
    <sheet name="Read me" sheetId="3" state="visible" r:id="rId5"/>
  </sheets>
  <definedNames>
    <definedName function="false" hidden="true" localSheetId="0" name="_xlnm._FilterDatabase" vbProcedure="false">'Buyers (bid losers)'!$A$1:$R$90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<sst xmlns="http://schemas.openxmlformats.org/spreadsheetml/2006/main" count="1282" uniqueCount="575">
  <si>
    <t xml:space="preserve">Losing company</t>
  </si>
  <si>
    <t xml:space="preserve">Location</t>
  </si>
  <si>
    <t xml:space="preserve">Lost bid</t>
  </si>
  <si>
    <t xml:space="preserve">Agency</t>
  </si>
  <si>
    <t xml:space="preserve">Bid date</t>
  </si>
  <si>
    <t xml:space="preserve">Their bid ($)</t>
  </si>
  <si>
    <t xml:space="preserve">Low/winning bid ($)</t>
  </si>
  <si>
    <t xml:space="preserve">Winner</t>
  </si>
  <si>
    <t xml:space="preserve">Gap vs low bid</t>
  </si>
  <si>
    <t xml:space="preserve">Contact name</t>
  </si>
  <si>
    <t xml:space="preserve">Title</t>
  </si>
  <si>
    <t xml:space="preserve">Phone</t>
  </si>
  <si>
    <t xml:space="preserve">Email</t>
  </si>
  <si>
    <t xml:space="preserve">Website</t>
  </si>
  <si>
    <t xml:space="preserve">Confidence</t>
  </si>
  <si>
    <t xml:space="preserve">Notes</t>
  </si>
  <si>
    <t xml:space="preserve">Outreach status</t>
  </si>
  <si>
    <t xml:space="preserve">Bid source</t>
  </si>
  <si>
    <t xml:space="preserve">Bierlein Companies, Inc.</t>
  </si>
  <si>
    <t xml:space="preserve">Midland, MI</t>
  </si>
  <si>
    <t xml:space="preserve">Frmr One-Hr Martinizing – PCE-Impacted Soil Removal</t>
  </si>
  <si>
    <t xml:space="preserve">Michigan DTMB / EGLE</t>
  </si>
  <si>
    <t xml:space="preserve">Job Site Services, Inc.</t>
  </si>
  <si>
    <t xml:space="preserve">Mark Bierlein / Joyce Bierlein</t>
  </si>
  <si>
    <t xml:space="preserve">Vice Presidents (Wiza)</t>
  </si>
  <si>
    <t xml:space="preserve">989-496-0066</t>
  </si>
  <si>
    <t xml:space="preserve">pcrannell@bierlein.com</t>
  </si>
  <si>
    <t xml:space="preserve">bierlein.com</t>
  </si>
  <si>
    <t xml:space="preserve">High</t>
  </si>
  <si>
    <t xml:space="preserve">Priority 7 – Lost 2 state jobs: also Michner Plating demo 8/12 ($167,700 vs $125,000). Phil Crannell = Contract Administrator, 989-860-0591 (from a Bierlein proposal).</t>
  </si>
  <si>
    <t xml:space="preserve">Not contacted</t>
  </si>
  <si>
    <t xml:space="preserve">Open bid tab</t>
  </si>
  <si>
    <t xml:space="preserve">Live Life Experience LLC</t>
  </si>
  <si>
    <t xml:space="preserve">Louisiana</t>
  </si>
  <si>
    <t xml:space="preserve">D'Anna Produce Building Demolition</t>
  </si>
  <si>
    <t xml:space="preserve">City of Shreveport, LA</t>
  </si>
  <si>
    <t xml:space="preserve">ELA Group Inc.</t>
  </si>
  <si>
    <t xml:space="preserve">Ask for owner</t>
  </si>
  <si>
    <t xml:space="preserve">Low</t>
  </si>
  <si>
    <t xml:space="preserve">Priority 7 – Only 3.4% off, 3 days ago. No contact found — check LA Secretary of State.</t>
  </si>
  <si>
    <t xml:space="preserve">Dillard Trucking dba Dillard Environmental Services</t>
  </si>
  <si>
    <t xml:space="preserve">Byron, CA</t>
  </si>
  <si>
    <t xml:space="preserve">04A7653 Hazardous Waste Disposal – Bay Area counties</t>
  </si>
  <si>
    <t xml:space="preserve">Caltrans (CA DOT)</t>
  </si>
  <si>
    <t xml:space="preserve">Environmental Logistics, Inc.</t>
  </si>
  <si>
    <t xml:space="preserve">925-634-6850</t>
  </si>
  <si>
    <t xml:space="preserve">melissar@dillardenv.com</t>
  </si>
  <si>
    <t xml:space="preserve">dillardenv.com</t>
  </si>
  <si>
    <t xml:space="preserve">Priority 7 – Phone from directory (curbwaste). Also lost 06A3333 (10/6), 04A7575 (9/15), 01A6671 (9/10), 03A4220 (9/1). Wins some too. Email from company website.</t>
  </si>
  <si>
    <t xml:space="preserve">A1 Service Group</t>
  </si>
  <si>
    <t xml:space="preserve">Greensboro, NC</t>
  </si>
  <si>
    <t xml:space="preserve">Abatement &amp; Demolition – Herman Park Center</t>
  </si>
  <si>
    <t xml:space="preserve">City of Goldsboro, NC</t>
  </si>
  <si>
    <t xml:space="preserve">4 Seasons Demolition, Inc.</t>
  </si>
  <si>
    <t xml:space="preserve">336-613-8747</t>
  </si>
  <si>
    <t xml:space="preserve">fcipoletti@a-1servicegroup.com; ilockwood@a-1servicegroup.com</t>
  </si>
  <si>
    <t xml:space="preserve">a-1servicegroup.com</t>
  </si>
  <si>
    <t xml:space="preserve">Priority 7 – Lost 2 abatement bids: also Sumter SC 2/12 ($194,784 vs $160,078.50). Contact from SC DES list. 2nd email from company website.</t>
  </si>
  <si>
    <t xml:space="preserve">GrayMar Environmental Services, LLC</t>
  </si>
  <si>
    <t xml:space="preserve">California</t>
  </si>
  <si>
    <t xml:space="preserve">12A2395 Hazardous Waste Disposal – Orange County</t>
  </si>
  <si>
    <t xml:space="preserve">866-472-9627</t>
  </si>
  <si>
    <t xml:space="preserve">contactca@graymarenv.com</t>
  </si>
  <si>
    <t xml:space="preserve">graymarenv.com</t>
  </si>
  <si>
    <t xml:space="preserve">Priority 7 – Lost 5 Caltrans haz-waste bids this year (incl. 06A3332 9/22, 03A4190, 04A7565). California inbox from company website (also contact@graymarenv.com).</t>
  </si>
  <si>
    <t xml:space="preserve">Corley Construction LLC</t>
  </si>
  <si>
    <t xml:space="preserve">South Carolina</t>
  </si>
  <si>
    <t xml:space="preserve">Demolition of 347 Heritage Hills Dr.</t>
  </si>
  <si>
    <t xml:space="preserve">Richland County, SC</t>
  </si>
  <si>
    <t xml:space="preserve">M.E. Contracting, LLC</t>
  </si>
  <si>
    <t xml:space="preserve">803-754-7100</t>
  </si>
  <si>
    <t xml:space="preserve">Medium</t>
  </si>
  <si>
    <t xml:space="preserve">Priority 7 – Likely related to Corley Lawn &amp; Construction — confirm on call. Also lost Sumter abatement 2/12 ($270,771).</t>
  </si>
  <si>
    <t xml:space="preserve">Wilma's Pump &amp; Tank Co., Inc.</t>
  </si>
  <si>
    <t xml:space="preserve">Greenville, SC</t>
  </si>
  <si>
    <t xml:space="preserve">864-292-6258</t>
  </si>
  <si>
    <t xml:space="preserve">ralphwpt@aol.com</t>
  </si>
  <si>
    <t xml:space="preserve">Priority 7 – SC DES list. Likely same group as 'Wilmer's Inc.' that lost Florence 6/12 ($36,455 vs $33,400) — confirm on call.</t>
  </si>
  <si>
    <t xml:space="preserve">Costera Waste &amp; Environmental, Inc.</t>
  </si>
  <si>
    <t xml:space="preserve">Lake Forest, CA</t>
  </si>
  <si>
    <t xml:space="preserve">01A6672 Hazardous Waste Disposal – Mendocino/Humboldt/Del Norte</t>
  </si>
  <si>
    <t xml:space="preserve">Dillard Environmental Services</t>
  </si>
  <si>
    <t xml:space="preserve">949-842-5554</t>
  </si>
  <si>
    <t xml:space="preserve">info@costeraenv.com</t>
  </si>
  <si>
    <t xml:space="preserve">costeraenv.com</t>
  </si>
  <si>
    <t xml:space="preserve">Priority 7 – Phone from directory. Also lost 06A3332 (9/22), 05A3009 (8/25), 02A2537 (8/25). Won Orange Co. 12A2394. Email from company website; SF office 415-533-0112.</t>
  </si>
  <si>
    <t xml:space="preserve">EnviroApplications, Inc.</t>
  </si>
  <si>
    <t xml:space="preserve">San Diego, CA</t>
  </si>
  <si>
    <t xml:space="preserve">11A4390 Identify/Evaluate/Remove Hazardous Waste – San Diego &amp; Imperial (multi-provider)</t>
  </si>
  <si>
    <t xml:space="preserve">Geocon Consultants, Inc.</t>
  </si>
  <si>
    <t xml:space="preserve">Priority 7 – Only 0.6% off. Multi-provider contract — they may still get an award; confirm before pitching. SAM UEI DLRBMRE32GN6.</t>
  </si>
  <si>
    <t xml:space="preserve">Dickens Quality Demolition LLC</t>
  </si>
  <si>
    <t xml:space="preserve">Phoenix, AZ</t>
  </si>
  <si>
    <t xml:space="preserve">Asbestos Abatement &amp; Demolition Project</t>
  </si>
  <si>
    <t xml:space="preserve">City of Casa Grande, AZ</t>
  </si>
  <si>
    <t xml:space="preserve">BCS Enterprises, Inc.</t>
  </si>
  <si>
    <t xml:space="preserve">Jamal Dickens</t>
  </si>
  <si>
    <t xml:space="preserve">Owner (Prospeo)</t>
  </si>
  <si>
    <t xml:space="preserve">602-258-8088</t>
  </si>
  <si>
    <t xml:space="preserve">dickensquality.com (per Prospeo)</t>
  </si>
  <si>
    <t xml:space="preserve">Priority 7 – Only 3.0% off. Founded 1997. No verified email. Pattern guess jdickens@dickensquality.com = UNVERIFIED GUESS.</t>
  </si>
  <si>
    <t xml:space="preserve">Dore &amp; Associates Contracting, Inc.</t>
  </si>
  <si>
    <t xml:space="preserve">Bay City, MI</t>
  </si>
  <si>
    <t xml:space="preserve">Michner Plating Building Demolition</t>
  </si>
  <si>
    <t xml:space="preserve">Falcon Demolition</t>
  </si>
  <si>
    <t xml:space="preserve">Jason Dore</t>
  </si>
  <si>
    <t xml:space="preserve">President</t>
  </si>
  <si>
    <t xml:space="preserve">989-684-8411</t>
  </si>
  <si>
    <t xml:space="preserve">est@doreassoc.com</t>
  </si>
  <si>
    <t xml:space="preserve">doreassoc.com</t>
  </si>
  <si>
    <t xml:space="preserve">Priority 7 – REJECTED — no bid bond (bonding pitch!). Also lost U. Iowa Melrose demo 7/29 ($298,200 vs $177,500). Email is estimating inbox.</t>
  </si>
  <si>
    <t xml:space="preserve">United Pumping Service, Inc.</t>
  </si>
  <si>
    <t xml:space="preserve">Southern CA</t>
  </si>
  <si>
    <t xml:space="preserve">Margaret Perry</t>
  </si>
  <si>
    <t xml:space="preserve">626-961-9326</t>
  </si>
  <si>
    <t xml:space="preserve">Priority 6 – Also lost 07A6365 biohazard (7/21) and 07A6377 (5/5); won 07A6448 in Aug. Contact from LA City BCA directory; no public email.</t>
  </si>
  <si>
    <t xml:space="preserve">Patriot Environmental Services</t>
  </si>
  <si>
    <t xml:space="preserve">Wilmington, CA</t>
  </si>
  <si>
    <t xml:space="preserve">06A3333 Hazardous Waste Disposal – Madera/Fresno/Kern/Tulare/Kings</t>
  </si>
  <si>
    <t xml:space="preserve">Josh Teves</t>
  </si>
  <si>
    <t xml:space="preserve">President (2022 source)</t>
  </si>
  <si>
    <t xml:space="preserve">562-436-2614</t>
  </si>
  <si>
    <t xml:space="preserve">contact@patriotenv.com</t>
  </si>
  <si>
    <t xml:space="preserve">patriotenvironmental.com</t>
  </si>
  <si>
    <t xml:space="preserve">Priority 6 – Same day also lost 59A1396 lab cleaning ($227,223 vs $189,200). Owned by Heritage-Crystal Clean since 2022 — bigger parent. Email from company website; toll-free 800-624-9136.</t>
  </si>
  <si>
    <t xml:space="preserve">Katch Environmental, Inc.</t>
  </si>
  <si>
    <t xml:space="preserve">Fresno, CA</t>
  </si>
  <si>
    <t xml:space="preserve">10A2920 Demolition &amp; Clearance – San Joaquin County</t>
  </si>
  <si>
    <t xml:space="preserve">P &amp; P Building Wrecking Inc.</t>
  </si>
  <si>
    <t xml:space="preserve">Paul Katchadourian</t>
  </si>
  <si>
    <t xml:space="preserve">Owner (Datanyze)</t>
  </si>
  <si>
    <t xml:space="preserve">559-292-6683</t>
  </si>
  <si>
    <t xml:space="preserve">admin@katchenvironmental.com</t>
  </si>
  <si>
    <t xml:space="preserve">katchenvironmental.com</t>
  </si>
  <si>
    <t xml:space="preserve">Priority 6 – Lost 6 Caltrans bids since July. Was only 1.6% off on 05A3033 SLO demo job (8/6: $438,460 vs $431,681). Phone from Cal/OSHA asbestos registry. Email from company website.</t>
  </si>
  <si>
    <t xml:space="preserve">Taplin Enterprises, LLC</t>
  </si>
  <si>
    <t xml:space="preserve">Kalamazoo, MI</t>
  </si>
  <si>
    <t xml:space="preserve">Priority 5 – REJECTED — addendum not acknowledged (no price read). Paperwork pain = bid-prep pitch.</t>
  </si>
  <si>
    <t xml:space="preserve">12A2394 Hazardous Waste Disposal – Orange County</t>
  </si>
  <si>
    <t xml:space="preserve">Costera Waste &amp; Environmental</t>
  </si>
  <si>
    <t xml:space="preserve">Priority 5 – Also lost 01A6672 (10/7) and 06A3332 (9/22) — but wins many Caltrans jobs. Mid-size.</t>
  </si>
  <si>
    <t xml:space="preserve">Interior Demolition, Inc.</t>
  </si>
  <si>
    <t xml:space="preserve">Newhall, CA</t>
  </si>
  <si>
    <t xml:space="preserve">07A6388 Demolition &amp; Clearance – Los Angeles &amp; Ventura</t>
  </si>
  <si>
    <t xml:space="preserve">AD Improvements, Inc.</t>
  </si>
  <si>
    <t xml:space="preserve">818-249-4932</t>
  </si>
  <si>
    <t xml:space="preserve">Priority 5 – Phone from Cal/OSHA registry (CSLB 603409). Also lost 05A3033 SLO demo by 4.7% (8/6: $451,860 vs $431,681).</t>
  </si>
  <si>
    <t xml:space="preserve">Hunter Consulting Inc. dba HCI Environmental</t>
  </si>
  <si>
    <t xml:space="preserve">07A6438 Hazardous Waste Disposal – Los Angeles &amp; Ventura</t>
  </si>
  <si>
    <t xml:space="preserve">951-280-0118</t>
  </si>
  <si>
    <t xml:space="preserve">customerservice@hcienv.com</t>
  </si>
  <si>
    <t xml:space="preserve">hcienv.com</t>
  </si>
  <si>
    <t xml:space="preserve">Priority 5 – Also lost 07A6365 biohazard (7/21) and 03A4190 (7/14). Email from company website; toll-free 800-988-4424.</t>
  </si>
  <si>
    <t xml:space="preserve">NEO Corporation (Eastern Div.)</t>
  </si>
  <si>
    <t xml:space="preserve">Canton, NC</t>
  </si>
  <si>
    <t xml:space="preserve">Jhepler@neocorporation.com</t>
  </si>
  <si>
    <t xml:space="preserve">neocorporation.com</t>
  </si>
  <si>
    <t xml:space="preserve">Priority 4 – Email from SC DES asbestos contractor list.</t>
  </si>
  <si>
    <t xml:space="preserve">Gerken Environmental Enterprises, Inc.</t>
  </si>
  <si>
    <t xml:space="preserve">Springfield, MO / Little Rock, AR</t>
  </si>
  <si>
    <t xml:space="preserve">Demolition – Southwest Junior High</t>
  </si>
  <si>
    <t xml:space="preserve">Little Rock School District, AR</t>
  </si>
  <si>
    <t xml:space="preserve">Hart Contractors of Texas, LLC</t>
  </si>
  <si>
    <t xml:space="preserve">Al Gerken</t>
  </si>
  <si>
    <t xml:space="preserve">Contact on MO DNR asbestos list</t>
  </si>
  <si>
    <t xml:space="preserve">417-863-7254</t>
  </si>
  <si>
    <t xml:space="preserve">gerkenenvironmental.com</t>
  </si>
  <si>
    <t xml:space="preserve">Priority 4 – Springfield HQ line. Little Rock office 501-225-4191 (company site).</t>
  </si>
  <si>
    <t xml:space="preserve">Corley Lawn &amp; Construction, LLC</t>
  </si>
  <si>
    <t xml:space="preserve">Columbia, SC</t>
  </si>
  <si>
    <t xml:space="preserve">clconstruction2013@hotmail.com</t>
  </si>
  <si>
    <t xml:space="preserve">Priority 4 – From SC DES asbestos list.</t>
  </si>
  <si>
    <t xml:space="preserve">Hakuna Services, Inc.</t>
  </si>
  <si>
    <t xml:space="preserve">San Francisco, CA</t>
  </si>
  <si>
    <t xml:space="preserve">Priority 4 – Also bid 05A3009 (8/25) and lost; won 03A4190 in July.</t>
  </si>
  <si>
    <t xml:space="preserve">American Integrated Services, Inc.</t>
  </si>
  <si>
    <t xml:space="preserve">Long Beach, CA</t>
  </si>
  <si>
    <t xml:space="preserve">07A6365 Biohazard Waste Removal – Los Angeles &amp; Ventura</t>
  </si>
  <si>
    <t xml:space="preserve">Andersen Integrated Services</t>
  </si>
  <si>
    <t xml:space="preserve">310-522-1168</t>
  </si>
  <si>
    <t xml:space="preserve">Priority 4 – Phone from Cal/OSHA registry. Also lost 07A6308 trash hauling (5/12).</t>
  </si>
  <si>
    <t xml:space="preserve">Walton Contracting, Inc.</t>
  </si>
  <si>
    <t xml:space="preserve">Traverse City, MI</t>
  </si>
  <si>
    <t xml:space="preserve">Priority 3</t>
  </si>
  <si>
    <t xml:space="preserve">Lathan Construction, LLC</t>
  </si>
  <si>
    <t xml:space="preserve">Strong's Backhoe Service, Inc.</t>
  </si>
  <si>
    <t xml:space="preserve">Apollo Excavating</t>
  </si>
  <si>
    <t xml:space="preserve">Quad Cities area, IL</t>
  </si>
  <si>
    <t xml:space="preserve">Demolition at 1006 15th Avenue</t>
  </si>
  <si>
    <t xml:space="preserve">City of East Moline, IL</t>
  </si>
  <si>
    <t xml:space="preserve">Valley Construction Co.</t>
  </si>
  <si>
    <t xml:space="preserve">Miller Trucking &amp; Excavating</t>
  </si>
  <si>
    <t xml:space="preserve">Illinois</t>
  </si>
  <si>
    <t xml:space="preserve">OV Septic and Demolition LLC</t>
  </si>
  <si>
    <t xml:space="preserve">North Carolina</t>
  </si>
  <si>
    <t xml:space="preserve">D&amp;J Contracting Inc.</t>
  </si>
  <si>
    <t xml:space="preserve">Michigan</t>
  </si>
  <si>
    <t xml:space="preserve">Handball/Racquetball Court Demolition</t>
  </si>
  <si>
    <t xml:space="preserve">City of Garden City, MI</t>
  </si>
  <si>
    <t xml:space="preserve">310 Group LLC</t>
  </si>
  <si>
    <t xml:space="preserve">Priority 3 – Small local job.</t>
  </si>
  <si>
    <t xml:space="preserve">DiMambro Construction</t>
  </si>
  <si>
    <t xml:space="preserve">Inner City Contracting</t>
  </si>
  <si>
    <t xml:space="preserve">Priority 3 – Bid amount cut off in source — check link.</t>
  </si>
  <si>
    <t xml:space="preserve">Rogers and Dillon Excavating</t>
  </si>
  <si>
    <t xml:space="preserve">Arkansas</t>
  </si>
  <si>
    <t xml:space="preserve">Jones Development Company &amp; General Contractor</t>
  </si>
  <si>
    <t xml:space="preserve">Fowler Services Inc / A1 Fowler</t>
  </si>
  <si>
    <t xml:space="preserve">Demolition of Structure at 512 N. Broadway</t>
  </si>
  <si>
    <t xml:space="preserve">City of Aurora, IL</t>
  </si>
  <si>
    <t xml:space="preserve">Arthur J. Lootens &amp; Son, Inc.</t>
  </si>
  <si>
    <t xml:space="preserve">Fox Excavating, Inc.</t>
  </si>
  <si>
    <t xml:space="preserve">Midwest Excavators</t>
  </si>
  <si>
    <t xml:space="preserve">Big A Demo &amp; Excavating L.L.C.</t>
  </si>
  <si>
    <t xml:space="preserve">Nebraska</t>
  </si>
  <si>
    <t xml:space="preserve">Demolition of One Structure</t>
  </si>
  <si>
    <t xml:space="preserve">Douglas County, NE</t>
  </si>
  <si>
    <t xml:space="preserve">Cox Contracting Co., Inc.</t>
  </si>
  <si>
    <t xml:space="preserve">Priority 3 – Bid 2x the winner — pricing/estimating pitch.</t>
  </si>
  <si>
    <t xml:space="preserve">Green Point Design Build Services, Inc.</t>
  </si>
  <si>
    <t xml:space="preserve">59A1396 Hazardous Lab Cleaning – San Bernardino &amp; San Diego</t>
  </si>
  <si>
    <t xml:space="preserve">Priority 3 – Small business (SB: Y).</t>
  </si>
  <si>
    <t xml:space="preserve">W.C. Maloney, LLC</t>
  </si>
  <si>
    <t xml:space="preserve">209-942-1129</t>
  </si>
  <si>
    <t xml:space="preserve">wcmaloney.com</t>
  </si>
  <si>
    <t xml:space="preserve">Priority 3 – Demo/clearance contractor. Phone from company website.</t>
  </si>
  <si>
    <t xml:space="preserve">JM Environmental, Inc.</t>
  </si>
  <si>
    <t xml:space="preserve">Granite Bay, CA</t>
  </si>
  <si>
    <t xml:space="preserve">916-726-0304</t>
  </si>
  <si>
    <t xml:space="preserve">Priority 3 – Phone from Cal/OSHA asbestos registry. Small business.</t>
  </si>
  <si>
    <t xml:space="preserve">Bowen Engineering &amp; Environmental</t>
  </si>
  <si>
    <t xml:space="preserve">559-233-7464</t>
  </si>
  <si>
    <t xml:space="preserve">Priority 3 – Phone from Cal/OSHA registry. Won 05A3033 SLO demo in Aug.</t>
  </si>
  <si>
    <t xml:space="preserve">Daniel A. Terreri &amp; Sons, Inc.</t>
  </si>
  <si>
    <t xml:space="preserve">Youngstown, OH</t>
  </si>
  <si>
    <t xml:space="preserve">Remedial Activities – Former Ohio Cast Products</t>
  </si>
  <si>
    <t xml:space="preserve">City of Canton, OH</t>
  </si>
  <si>
    <t xml:space="preserve">Buckeye Elm Contracting, LLC</t>
  </si>
  <si>
    <t xml:space="preserve">330-538-2950</t>
  </si>
  <si>
    <t xml:space="preserve">Priority 3 – Phone from Regional Chamber directory. No public email found.</t>
  </si>
  <si>
    <t xml:space="preserve">ETT Environmental Services</t>
  </si>
  <si>
    <t xml:space="preserve">Connecticut</t>
  </si>
  <si>
    <t xml:space="preserve">Engine #2 Fuel Tank Removal</t>
  </si>
  <si>
    <t xml:space="preserve">City of Meriden, CT</t>
  </si>
  <si>
    <t xml:space="preserve">RED Technologies LLC</t>
  </si>
  <si>
    <t xml:space="preserve">Gabe Oshana</t>
  </si>
  <si>
    <t xml:space="preserve">860-388-1487</t>
  </si>
  <si>
    <t xml:space="preserve">sales@ett-tech.com</t>
  </si>
  <si>
    <t xml:space="preserve">ett-tech.com</t>
  </si>
  <si>
    <t xml:space="preserve">Priority 3 – Contact from CT DEEP list (2024) + company website.</t>
  </si>
  <si>
    <t xml:space="preserve">Brighter Horizons Environmental, Inc.</t>
  </si>
  <si>
    <t xml:space="preserve">978-970-0500</t>
  </si>
  <si>
    <t xml:space="preserve">estimating@bhenv.com; info@bhenv.com</t>
  </si>
  <si>
    <t xml:space="preserve">bhenv.com</t>
  </si>
  <si>
    <t xml:space="preserve">Priority 3 – HQ is Ayer, MA. Estimating inbox from company website.</t>
  </si>
  <si>
    <t xml:space="preserve">Sagebrush Restoration, LLC</t>
  </si>
  <si>
    <t xml:space="preserve">Tempe, AZ</t>
  </si>
  <si>
    <t xml:space="preserve">Jeffrey Russell Cromer</t>
  </si>
  <si>
    <t xml:space="preserve">Member (BBB)</t>
  </si>
  <si>
    <t xml:space="preserve">602-810-7353</t>
  </si>
  <si>
    <t xml:space="preserve">Priority 3 – Christina Cromer = business manager (BBB).</t>
  </si>
  <si>
    <t xml:space="preserve">Handy Excavating</t>
  </si>
  <si>
    <t xml:space="preserve">Quincy, MI</t>
  </si>
  <si>
    <t xml:space="preserve">Priority 3 – REJECTED — addendum not acknowledged.</t>
  </si>
  <si>
    <t xml:space="preserve">JeanLouis Homes, LLC</t>
  </si>
  <si>
    <t xml:space="preserve">Asbestos Abatement &amp; Demolition – 2100 NE Evangeline Thruway</t>
  </si>
  <si>
    <t xml:space="preserve">Lafayette Consolidated Govt, LA</t>
  </si>
  <si>
    <t xml:space="preserve">Construction Management Enterprises, LLC</t>
  </si>
  <si>
    <t xml:space="preserve">Priority 3 – REJECTED — residential license only, no Certificate of Authority.</t>
  </si>
  <si>
    <t xml:space="preserve">1 Priority Environmental Services</t>
  </si>
  <si>
    <t xml:space="preserve">Priority 3 – REJECTED — no Certificate of Authority for signer.</t>
  </si>
  <si>
    <t xml:space="preserve">Tiger Demolition, Inc.</t>
  </si>
  <si>
    <t xml:space="preserve">Priority 3 – REJECTED — bid form not signed.</t>
  </si>
  <si>
    <t xml:space="preserve">Advanced Chemical Transport, LLC</t>
  </si>
  <si>
    <t xml:space="preserve">Priority 2 – Find phone on company site.</t>
  </si>
  <si>
    <t xml:space="preserve">Environmental Remediation Contractor</t>
  </si>
  <si>
    <t xml:space="preserve">Ohio</t>
  </si>
  <si>
    <t xml:space="preserve">Priority 2</t>
  </si>
  <si>
    <t xml:space="preserve">Environmental Restoration, LLC</t>
  </si>
  <si>
    <t xml:space="preserve">True Blue Environmental Services</t>
  </si>
  <si>
    <t xml:space="preserve">Five Star Remodeling &amp; Restoration</t>
  </si>
  <si>
    <t xml:space="preserve">Arizona</t>
  </si>
  <si>
    <t xml:space="preserve">Precision Works, Inc. dba Precision Environmental</t>
  </si>
  <si>
    <t xml:space="preserve">Ventura, CA</t>
  </si>
  <si>
    <t xml:space="preserve">805-641-9333</t>
  </si>
  <si>
    <t xml:space="preserve">info@precisionenv.com</t>
  </si>
  <si>
    <t xml:space="preserve">precisionenv.com</t>
  </si>
  <si>
    <t xml:space="preserve">Priority 2 – Phone from Cal/OSHA registry. Email from company website; 800-375-7786.</t>
  </si>
  <si>
    <t xml:space="preserve">Pitsch Companies dba Pitsch Wrecking</t>
  </si>
  <si>
    <t xml:space="preserve">Grand Rapids, MI</t>
  </si>
  <si>
    <t xml:space="preserve">616-363-4895</t>
  </si>
  <si>
    <t xml:space="preserve">amy@pitschco.com</t>
  </si>
  <si>
    <t xml:space="preserve">pitschco.com</t>
  </si>
  <si>
    <t xml:space="preserve">Priority 2 – Phone from 2025 South Bend bid form. Office email from a 2025 bid notice — verify.</t>
  </si>
  <si>
    <t xml:space="preserve">Homrich Wrecking, Inc.</t>
  </si>
  <si>
    <t xml:space="preserve">Carleton, MI</t>
  </si>
  <si>
    <t xml:space="preserve">734-654-9800</t>
  </si>
  <si>
    <t xml:space="preserve">homrich.com</t>
  </si>
  <si>
    <t xml:space="preserve">Priority 2 – No public email; call main line.</t>
  </si>
  <si>
    <t xml:space="preserve">Midwest Demolition Contractors Inc</t>
  </si>
  <si>
    <t xml:space="preserve">Iowa</t>
  </si>
  <si>
    <t xml:space="preserve">Raze Buildings – 9, 10-11, 13-14 Melrose Place</t>
  </si>
  <si>
    <t xml:space="preserve">University of Iowa</t>
  </si>
  <si>
    <t xml:space="preserve">Peterson Contractors, Inc.</t>
  </si>
  <si>
    <t xml:space="preserve">402-475-1600</t>
  </si>
  <si>
    <t xml:space="preserve">kcederburg@midwestdemo.com</t>
  </si>
  <si>
    <t xml:space="preserve">midwestdemo.com</t>
  </si>
  <si>
    <t xml:space="preserve">Priority 2 – Possible match: Midwest Demolition (Lincoln, NE) — confirm on call it's the same firm.</t>
  </si>
  <si>
    <t xml:space="preserve">Cactus Abatement &amp; Demolition, LLC</t>
  </si>
  <si>
    <t xml:space="preserve">Roanoke, TX</t>
  </si>
  <si>
    <t xml:space="preserve">Bid 26-33 Asbestos Abatement – Memorial Auditorium</t>
  </si>
  <si>
    <t xml:space="preserve">City of Wichita Falls, TX</t>
  </si>
  <si>
    <t xml:space="preserve">AOC Environmental, Inc.</t>
  </si>
  <si>
    <t xml:space="preserve">Nelda Hall</t>
  </si>
  <si>
    <t xml:space="preserve">Contact (2015 DBE listing)</t>
  </si>
  <si>
    <t xml:space="preserve">817-626-4791</t>
  </si>
  <si>
    <t xml:space="preserve">Priority 2 – Contact data is old — verify.</t>
  </si>
  <si>
    <t xml:space="preserve">Freeland / Bay City, MI</t>
  </si>
  <si>
    <t xml:space="preserve">Adrian Oil Burner Site – Groundwater Remediation Ph 3</t>
  </si>
  <si>
    <t xml:space="preserve">Global Environmental Engineering Co.</t>
  </si>
  <si>
    <t xml:space="preserve">844-830-5400</t>
  </si>
  <si>
    <t xml:space="preserve">Priority 2 – Phones conflict (also 989-671-3318). Note: they WON the 10/28 soil-removal job — less pain now.</t>
  </si>
  <si>
    <t xml:space="preserve">PARC Environmental (Professional Asbestos Removal Corp.)</t>
  </si>
  <si>
    <t xml:space="preserve">05A3008 Hazardous Waste Disposal – Central Coast counties</t>
  </si>
  <si>
    <t xml:space="preserve">559-233-7156</t>
  </si>
  <si>
    <t xml:space="preserve">info@parcenvironmental.com</t>
  </si>
  <si>
    <t xml:space="preserve">parcenvironmental.com</t>
  </si>
  <si>
    <t xml:space="preserve">Priority 2 – Phone from Cal/OSHA registry. Website lists 13 staff emails (e.g. jdavis@, sswiger@).</t>
  </si>
  <si>
    <t xml:space="preserve">Environmental Abatement &amp; Solutions LLC (E.A.S., LLC)</t>
  </si>
  <si>
    <t xml:space="preserve">Sumter, SC</t>
  </si>
  <si>
    <t xml:space="preserve">ITB 16-25/26 Asbestos Design, Air Monitoring &amp; Abatement</t>
  </si>
  <si>
    <t xml:space="preserve">City of Sumter, SC</t>
  </si>
  <si>
    <t xml:space="preserve">Wilma's Inc.</t>
  </si>
  <si>
    <t xml:space="preserve">803-469-5455</t>
  </si>
  <si>
    <t xml:space="preserve">easllcsc@yahoo.com</t>
  </si>
  <si>
    <t xml:space="preserve">Priority 2 – Tab says 'E.A.S., LLC' — name match not exact, confirm on call.</t>
  </si>
  <si>
    <t xml:space="preserve">Thompson Building Wrecking Co., Inc.</t>
  </si>
  <si>
    <t xml:space="preserve">Augusta, GA</t>
  </si>
  <si>
    <t xml:space="preserve">706-722-1432</t>
  </si>
  <si>
    <t xml:space="preserve">lene@thompsonwrecking.com</t>
  </si>
  <si>
    <t xml:space="preserve">thompsonwrecking.com</t>
  </si>
  <si>
    <t xml:space="preserve">Priority 2 – From SC DES asbestos list.</t>
  </si>
  <si>
    <t xml:space="preserve">American Property Restoration, Inc.</t>
  </si>
  <si>
    <t xml:space="preserve">Lilburn, GA</t>
  </si>
  <si>
    <t xml:space="preserve">Asbestos Abatement &amp; Demo – 118 N Coffee (66812-26-0014)</t>
  </si>
  <si>
    <t xml:space="preserve">City of Douglas, GA</t>
  </si>
  <si>
    <t xml:space="preserve">Genesis Environmental &amp; Location</t>
  </si>
  <si>
    <t xml:space="preserve">770-480-6831</t>
  </si>
  <si>
    <t xml:space="preserve">aldiallo@aprcat.com</t>
  </si>
  <si>
    <t xml:space="preserve">Abajian Enterprise dba SoCal Removal</t>
  </si>
  <si>
    <t xml:space="preserve">07A6448 Hazardous Waste Disposal – Los Angeles &amp; Ventura</t>
  </si>
  <si>
    <t xml:space="preserve">United Pumping Services, Inc.</t>
  </si>
  <si>
    <t xml:space="preserve">Priority 1 – Small business. Bid was 2x the winner — pricing problem.</t>
  </si>
  <si>
    <t xml:space="preserve">Adamo Demolition Company</t>
  </si>
  <si>
    <t xml:space="preserve">Detroit, MI</t>
  </si>
  <si>
    <t xml:space="preserve">Richard M. Adamo</t>
  </si>
  <si>
    <t xml:space="preserve">313-892-7330</t>
  </si>
  <si>
    <t xml:space="preserve">info@adamogroup.com</t>
  </si>
  <si>
    <t xml:space="preserve">adamogroup.com</t>
  </si>
  <si>
    <t xml:space="preserve">Priority 1 – Phone + name from signed bid form. Website also lists slouwers@ and tdelanoy@adamogroup.com.</t>
  </si>
  <si>
    <t xml:space="preserve">Rezzar Demolition, LLC</t>
  </si>
  <si>
    <t xml:space="preserve">Algonquin, IL</t>
  </si>
  <si>
    <t xml:space="preserve">Priority 1</t>
  </si>
  <si>
    <t xml:space="preserve">Smalley Construction, Inc.</t>
  </si>
  <si>
    <t xml:space="preserve">Scottville, MI</t>
  </si>
  <si>
    <t xml:space="preserve">E.T. MacKenzie Company, LLC</t>
  </si>
  <si>
    <t xml:space="preserve">Grand Ledge, MI</t>
  </si>
  <si>
    <t xml:space="preserve">Priority 1 – Qualified disabled-veteran bidder.</t>
  </si>
  <si>
    <t xml:space="preserve">Green Demolition Contractors, Inc.</t>
  </si>
  <si>
    <t xml:space="preserve">LaPorte, IN</t>
  </si>
  <si>
    <t xml:space="preserve">United Storm Water, Inc.</t>
  </si>
  <si>
    <t xml:space="preserve">All American Concrete Inc.</t>
  </si>
  <si>
    <t xml:space="preserve">Priority 1 – Won a U. Iowa alley job 10/14.</t>
  </si>
  <si>
    <t xml:space="preserve">OFRS, Inc.</t>
  </si>
  <si>
    <t xml:space="preserve">Priority 1 – Small business.</t>
  </si>
  <si>
    <t xml:space="preserve">The Demo Company</t>
  </si>
  <si>
    <t xml:space="preserve">Texas</t>
  </si>
  <si>
    <t xml:space="preserve">Red River Remediation</t>
  </si>
  <si>
    <t xml:space="preserve">Abilene, TX</t>
  </si>
  <si>
    <t xml:space="preserve">Voigt Inc II dba Smitty's Environmental</t>
  </si>
  <si>
    <t xml:space="preserve">Davis Land Solution, LLC</t>
  </si>
  <si>
    <t xml:space="preserve">Orangeburg, SC</t>
  </si>
  <si>
    <t xml:space="preserve">ITB 2026-30 Asbestos Abatement &amp; Demolition</t>
  </si>
  <si>
    <t xml:space="preserve">City of Florence, SC</t>
  </si>
  <si>
    <t xml:space="preserve">Land Development of Florence, LLC</t>
  </si>
  <si>
    <t xml:space="preserve">Diversified Construction of LA, LLC</t>
  </si>
  <si>
    <t xml:space="preserve">Pellerin and Son's, Inc.</t>
  </si>
  <si>
    <t xml:space="preserve">Ratcliff Recovery Services, LLC</t>
  </si>
  <si>
    <t xml:space="preserve">Wilkerson Transportation, Inc.</t>
  </si>
  <si>
    <t xml:space="preserve">Cypress Line Services, LLC</t>
  </si>
  <si>
    <t xml:space="preserve">Superior Abatement</t>
  </si>
  <si>
    <t xml:space="preserve">D&amp;H Contracting Solutions, LLC</t>
  </si>
  <si>
    <t xml:space="preserve">Odum, GA</t>
  </si>
  <si>
    <t xml:space="preserve">D&amp;D Dozer</t>
  </si>
  <si>
    <t xml:space="preserve">Nashville, GA</t>
  </si>
  <si>
    <t xml:space="preserve">Wrecking Corp of America</t>
  </si>
  <si>
    <t xml:space="preserve">Cumming, GA</t>
  </si>
  <si>
    <t xml:space="preserve">Anderson Environmental, Inc.</t>
  </si>
  <si>
    <t xml:space="preserve">Hampton, GA</t>
  </si>
  <si>
    <t xml:space="preserve">Christman Constructors, Inc.</t>
  </si>
  <si>
    <t xml:space="preserve">Lansing, MI</t>
  </si>
  <si>
    <t xml:space="preserve">Priority 0 – Larger GC — lower priority.</t>
  </si>
  <si>
    <t xml:space="preserve">Notes: rows sorted hottest first. Priority = +4 lost by &lt;5%, +3 lost 2+ bids, +2 rejected on paperwork, +1 small firm, +2 bid in last 30 days (+1 if 31–60), +1 contact found. Blank 'Their bid' = rejected bid, no price read. Blue numbers = taken from the public bid tab. Contacts from bid tabs, state asbestos lists (SC DES, Cal/OSHA), BBB and directories — never guessed.</t>
  </si>
  <si>
    <t xml:space="preserve">Seller company</t>
  </si>
  <si>
    <t xml:space="preserve">Category</t>
  </si>
  <si>
    <t xml:space="preserve">What they sell / won</t>
  </si>
  <si>
    <t xml:space="preserve">Best-fit buyers on sheet</t>
  </si>
  <si>
    <t xml:space="preserve">Website / location</t>
  </si>
  <si>
    <t xml:space="preserve">How to reach</t>
  </si>
  <si>
    <t xml:space="preserve">Intro angle</t>
  </si>
  <si>
    <t xml:space="preserve">Source (hyperlink)</t>
  </si>
  <si>
    <t xml:space="preserve">Legends Environmental Insurance Services</t>
  </si>
  <si>
    <t xml:space="preserve">Surety / bonding</t>
  </si>
  <si>
    <t xml:space="preserve">Bid, performance &amp; payment bonds for asbestos, lead, remediation &amp; demo firms</t>
  </si>
  <si>
    <t xml:space="preserve">Rejected-for-bond losers (Dore &amp; Associates), small CA/MI abatement firms</t>
  </si>
  <si>
    <t xml:space="preserve">completemarkets.com (Legends storefront)</t>
  </si>
  <si>
    <t xml:space="preserve">Find agent contact on storefront</t>
  </si>
  <si>
    <t xml:space="preserve">'Dore got tossed on the Michigan Michner job for no bid bond — you fix that.'</t>
  </si>
  <si>
    <t xml:space="preserve">Open source</t>
  </si>
  <si>
    <t xml:space="preserve">Bonding &amp; Insurance Specialists Agency (BISA)</t>
  </si>
  <si>
    <t xml:space="preserve">Environmental contractor bonds, $500k–$20M revenue firms</t>
  </si>
  <si>
    <t xml:space="preserve">Small/mid losers: A1 Service Group, Corley, Wilma's, Katch</t>
  </si>
  <si>
    <t xml:space="preserve">completemarkets.com (BISA storefront)</t>
  </si>
  <si>
    <t xml:space="preserve">Fits exactly the revenue band of most losers on the sheet.</t>
  </si>
  <si>
    <t xml:space="preserve">R S Bonding</t>
  </si>
  <si>
    <t xml:space="preserve">Surety-only agency, 20+ markets incl. environmental &amp; hard-to-place</t>
  </si>
  <si>
    <t xml:space="preserve">Rejected bidders (Taplin, Handy, Tiger Demolition, 1 Priority)</t>
  </si>
  <si>
    <t xml:space="preserve">thebluebook.com profile</t>
  </si>
  <si>
    <t xml:space="preserve">Call from Blue Book profile</t>
  </si>
  <si>
    <t xml:space="preserve">Hard-to-place bonding for firms that keep getting rejected.</t>
  </si>
  <si>
    <t xml:space="preserve">Skyward Insurance</t>
  </si>
  <si>
    <t xml:space="preserve">Contract surety for asbestos, lead, mold, tank, soil remediation &amp; demo</t>
  </si>
  <si>
    <t xml:space="preserve">CT tank-removal losers (True Blue, ETT, Brighter Horizons)</t>
  </si>
  <si>
    <t xml:space="preserve">skywardinsurance.com</t>
  </si>
  <si>
    <t xml:space="preserve">Contact page</t>
  </si>
  <si>
    <t xml:space="preserve">Tank-removal + remediation specialty match.</t>
  </si>
  <si>
    <t xml:space="preserve">DBL Surety</t>
  </si>
  <si>
    <t xml:space="preserve">Environmental performance &amp; payment bonds</t>
  </si>
  <si>
    <t xml:space="preserve">Remediation losers (EGLE soil/groundwater bidders, Canton OH bidders)</t>
  </si>
  <si>
    <t xml:space="preserve">mynewmarkets.com listing</t>
  </si>
  <si>
    <t xml:space="preserve">Contact via listing</t>
  </si>
  <si>
    <t xml:space="preserve">Remediation-specific bonding.</t>
  </si>
  <si>
    <t xml:space="preserve">McNeil and Company</t>
  </si>
  <si>
    <t xml:space="preserve">Surety &amp; insurance programs for environmental contractors</t>
  </si>
  <si>
    <t xml:space="preserve">Asbestos abatement losers in SC/GA</t>
  </si>
  <si>
    <t xml:space="preserve">mcneilandcompany.com</t>
  </si>
  <si>
    <t xml:space="preserve">Abatement contractors are a named target market.</t>
  </si>
  <si>
    <t xml:space="preserve">Acrisure (Surety)</t>
  </si>
  <si>
    <t xml:space="preserve">Bid, performance, payment bonds incl. environmental remediation</t>
  </si>
  <si>
    <t xml:space="preserve">Bigger losers ($500k+): Gerken, Interior Demolition, Pitsch</t>
  </si>
  <si>
    <t xml:space="preserve">acrisure.com/surety-bonds</t>
  </si>
  <si>
    <t xml:space="preserve">Local office</t>
  </si>
  <si>
    <t xml:space="preserve">Bond capacity for $1M+ jobs.</t>
  </si>
  <si>
    <t xml:space="preserve">FieldFlo</t>
  </si>
  <si>
    <t xml:space="preserve">Estimating / ops software</t>
  </si>
  <si>
    <t xml:space="preserve">Estimating + field software built for demolition &amp; abatement</t>
  </si>
  <si>
    <t xml:space="preserve">Losers who bid 2x the winner (SoCal Removal, Big A Demo, Precision Env.)</t>
  </si>
  <si>
    <t xml:space="preserve">fieldflo.com</t>
  </si>
  <si>
    <t xml:space="preserve">Demo request</t>
  </si>
  <si>
    <t xml:space="preserve">'You were double the low bid — this is how you tighten estimates.'</t>
  </si>
  <si>
    <t xml:space="preserve">Demotek</t>
  </si>
  <si>
    <t xml:space="preserve">Estimating software</t>
  </si>
  <si>
    <t xml:space="preserve">Takeoff &amp; estimating for demolition and asbestos abatement</t>
  </si>
  <si>
    <t xml:space="preserve">Small demo firms (IL, LA, AZ losers)</t>
  </si>
  <si>
    <t xml:space="preserve">search 'Demotek estimating'</t>
  </si>
  <si>
    <t xml:space="preserve">Debris tonnage, hauling &amp; disposal costing built in.</t>
  </si>
  <si>
    <t xml:space="preserve">ConstructionBids.ai</t>
  </si>
  <si>
    <t xml:space="preserve">Bid-finding</t>
  </si>
  <si>
    <t xml:space="preserve">Public bid alerts for small/mid contractors</t>
  </si>
  <si>
    <t xml:space="preserve">Every small local loser — they need more shots on goal</t>
  </si>
  <si>
    <t xml:space="preserve">constructionbids.ai</t>
  </si>
  <si>
    <t xml:space="preserve">Sales/demo</t>
  </si>
  <si>
    <t xml:space="preserve">'You lost this one — here's 20 more like it this month.'</t>
  </si>
  <si>
    <t xml:space="preserve">BidNet Direct</t>
  </si>
  <si>
    <t xml:space="preserve">Government/municipal bid notification network (runs the state *bids.com sites)</t>
  </si>
  <si>
    <t xml:space="preserve">All losers found via state bid networks (IL, LA, NC, SC, AR, AZ, CT, NE, OH)</t>
  </si>
  <si>
    <t xml:space="preserve">bidnetdirect.com</t>
  </si>
  <si>
    <t xml:space="preserve">Sales team</t>
  </si>
  <si>
    <t xml:space="preserve">They literally published the tab the buyer lost — upsell alerts.</t>
  </si>
  <si>
    <t xml:space="preserve">DemandStar</t>
  </si>
  <si>
    <t xml:space="preserve">Public-sector bid notifications</t>
  </si>
  <si>
    <t xml:space="preserve">Small municipal-demo losers</t>
  </si>
  <si>
    <t xml:space="preserve">demandstar.com</t>
  </si>
  <si>
    <t xml:space="preserve">City demo work alerts.</t>
  </si>
  <si>
    <t xml:space="preserve">PlanHub</t>
  </si>
  <si>
    <t xml:space="preserve">Bid-finding / GC network</t>
  </si>
  <si>
    <t xml:space="preserve">Connects subs to GCs bidding projects</t>
  </si>
  <si>
    <t xml:space="preserve">Losers who should sub to winners (abatement subs)</t>
  </si>
  <si>
    <t xml:space="preserve">planhub.com</t>
  </si>
  <si>
    <t xml:space="preserve">Get invited by GCs instead of chasing tabs.</t>
  </si>
  <si>
    <t xml:space="preserve">Starbridge</t>
  </si>
  <si>
    <t xml:space="preserve">Gov sales intelligence</t>
  </si>
  <si>
    <t xml:space="preserve">Government &amp; education buying signals</t>
  </si>
  <si>
    <t xml:space="preserve">Bigger regional losers (Caltrans haz-waste firms)</t>
  </si>
  <si>
    <t xml:space="preserve">starbridge.ai</t>
  </si>
  <si>
    <t xml:space="preserve">See agency budgets before bids post.</t>
  </si>
  <si>
    <t xml:space="preserve">1st Commercial Credit</t>
  </si>
  <si>
    <t xml:space="preserve">Equipment financing</t>
  </si>
  <si>
    <t xml:space="preserve">Demolition equipment financing, fast funding</t>
  </si>
  <si>
    <t xml:space="preserve">Small demo firms with idle crews (D&amp;D Dozer, Apollo, Fox Excavating)</t>
  </si>
  <si>
    <t xml:space="preserve">1stcommercialcredit.com</t>
  </si>
  <si>
    <t xml:space="preserve">Cash-flow bridge between lost bids.</t>
  </si>
  <si>
    <t xml:space="preserve">TopMark Funding</t>
  </si>
  <si>
    <t xml:space="preserve">Excavator loans nationwide</t>
  </si>
  <si>
    <t xml:space="preserve">Demo/excavating losers</t>
  </si>
  <si>
    <t xml:space="preserve">topmarkfunding.com</t>
  </si>
  <si>
    <t xml:space="preserve">Upgrade fleet to bid bigger jobs.</t>
  </si>
  <si>
    <t xml:space="preserve">Crestmont Capital</t>
  </si>
  <si>
    <t xml:space="preserve">Equipment / business loans</t>
  </si>
  <si>
    <t xml:space="preserve">Demolition business loans &amp; attachment financing</t>
  </si>
  <si>
    <t xml:space="preserve">Demo losers in AR/LA/IL</t>
  </si>
  <si>
    <t xml:space="preserve">crestmontcapital.com</t>
  </si>
  <si>
    <t xml:space="preserve">Working capital after a loss.</t>
  </si>
  <si>
    <t xml:space="preserve">LBX Capital</t>
  </si>
  <si>
    <t xml:space="preserve">Equipment financing (OEM)</t>
  </si>
  <si>
    <t xml:space="preserve">Link-Belt excavator financing</t>
  </si>
  <si>
    <t xml:space="preserve">Mid-size demo firms (Pitsch, Homrich, Adamo)</t>
  </si>
  <si>
    <t xml:space="preserve">cdrecycler.com coverage</t>
  </si>
  <si>
    <t xml:space="preserve">Via Link-Belt dealer</t>
  </si>
  <si>
    <t xml:space="preserve">OEM financing for demo excavators.</t>
  </si>
  <si>
    <t xml:space="preserve">TN Federal Consulting, LLC</t>
  </si>
  <si>
    <t xml:space="preserve">Gov proposal writing</t>
  </si>
  <si>
    <t xml:space="preserve">Proposal prep &amp; federal capture for small firms (NAICS 562910 remediation)</t>
  </si>
  <si>
    <t xml:space="preserve">$500k+ losers: EnviroApplications, HCI, GrayMar, Gerken</t>
  </si>
  <si>
    <t xml:space="preserve">govconinabox.com profile</t>
  </si>
  <si>
    <t xml:space="preserve">SAM / profile contact</t>
  </si>
  <si>
    <t xml:space="preserve">Turn state-level losers into federal remediation winners.</t>
  </si>
  <si>
    <t xml:space="preserve">R&amp;D Excavating</t>
  </si>
  <si>
    <t xml:space="preserve">Prime/GC needing subs</t>
  </si>
  <si>
    <t xml:space="preserve">Won West Park Shopping Center demo ($886,845, 9 bids) — had asbestos change order</t>
  </si>
  <si>
    <t xml:space="preserve">Abatement losers in OH (Environmental Restoration, Terreri)</t>
  </si>
  <si>
    <t xml:space="preserve">Crestline, OH</t>
  </si>
  <si>
    <t xml:space="preserve">Ask for estimator</t>
  </si>
  <si>
    <t xml:space="preserve">More asbestos found than specs — needs abatement capacity.</t>
  </si>
  <si>
    <t xml:space="preserve">Won Little Rock SW Junior High demo ($848,447, 10/15)</t>
  </si>
  <si>
    <t xml:space="preserve">Gerken Environmental (abatement sub), Rogers &amp; Dillon</t>
  </si>
  <si>
    <t xml:space="preserve">Ask for PM</t>
  </si>
  <si>
    <t xml:space="preserve">School demo = asbestos sub needed now.</t>
  </si>
  <si>
    <t xml:space="preserve">Prime needing subs</t>
  </si>
  <si>
    <t xml:space="preserve">Won Goldsboro Herman Park abatement &amp; demo ($246,100, 10/22)</t>
  </si>
  <si>
    <t xml:space="preserve">A1 Service Group, NEO Corp (abatement subs)</t>
  </si>
  <si>
    <t xml:space="preserve">Turn the losers into their abatement subs.</t>
  </si>
  <si>
    <t xml:space="preserve">Zhn Contracting Corp</t>
  </si>
  <si>
    <t xml:space="preserve">Low bidder CUNY John Jay facade restoration + asbestos abatement ($1.77M, DASNY, 10/8)</t>
  </si>
  <si>
    <t xml:space="preserve">NY/Northeast abatement firms</t>
  </si>
  <si>
    <t xml:space="preserve">New York</t>
  </si>
  <si>
    <t xml:space="preserve">Facade GC likely subs the abatement scope.</t>
  </si>
  <si>
    <t xml:space="preserve">Won Casa Grande asbestos abatement &amp; demo ($479,750, 9/3)</t>
  </si>
  <si>
    <t xml:space="preserve">Sagebrush Restoration, Dickens Quality Demolition</t>
  </si>
  <si>
    <t xml:space="preserve">Overflow / sub work for AZ losers.</t>
  </si>
  <si>
    <t xml:space="preserve">Won Shreveport D'Anna Produce demo ($192,500, 10/27)</t>
  </si>
  <si>
    <t xml:space="preserve">Live Life Experience, Lathan, Strong's Backhoe</t>
  </si>
  <si>
    <t xml:space="preserve">Local subs for hauling/abatement.</t>
  </si>
  <si>
    <t xml:space="preserve">Won U. Iowa Melrose Place raze ($177,500, 7/29)</t>
  </si>
  <si>
    <t xml:space="preserve">Midwest Demolition Contractors, Dore</t>
  </si>
  <si>
    <t xml:space="preserve">Sub capacity on house razes.</t>
  </si>
  <si>
    <t xml:space="preserve">Won Michner Plating demo, MI EGLE ($125,000, 8/12)</t>
  </si>
  <si>
    <t xml:space="preserve">Bierlein, Pitsch, MI abatement firms</t>
  </si>
  <si>
    <t xml:space="preserve">Clio, MI</t>
  </si>
  <si>
    <t xml:space="preserve">Plating site = hazmat subs.</t>
  </si>
  <si>
    <t xml:space="preserve">Won Caltrans LA/Ventura demo &amp; clearance ($2.3M, 8/27)</t>
  </si>
  <si>
    <t xml:space="preserve">Interior Demolition, Katch, Precision Environmental</t>
  </si>
  <si>
    <t xml:space="preserve">$2.3M multi-site contract — needs crews.</t>
  </si>
  <si>
    <t xml:space="preserve">Won Caltrans San Joaquin demo &amp; clearance ($301,800, 9/17)</t>
  </si>
  <si>
    <t xml:space="preserve">W.C. Maloney, JM Environmental, Katch</t>
  </si>
  <si>
    <t xml:space="preserve">Lowballed by 45% — may need cheap subs.</t>
  </si>
  <si>
    <t xml:space="preserve">Won East Moline demo ($92,500, 10/26)</t>
  </si>
  <si>
    <t xml:space="preserve">Apollo Excavating, Miller Trucking</t>
  </si>
  <si>
    <t xml:space="preserve">Local sub/hauling work.</t>
  </si>
  <si>
    <t xml:space="preserve">How to use</t>
  </si>
  <si>
    <t xml:space="preserve">Yellow cells = update as you work (Outreach status).</t>
  </si>
  <si>
    <t xml:space="preserve">Buyers tab = companies that lost a public bid; sorted hottest first (see Priority in Notes).</t>
  </si>
  <si>
    <t xml:space="preserve">Sellers tab = firms that fix the loser's pain + winners who need subcontractors.</t>
  </si>
  <si>
    <t xml:space="preserve">'Ask for owner' = no named person found; call the office line.</t>
  </si>
  <si>
    <t xml:space="preserve">Built 2026-10-30 from free public bid tabs. No paid data credits used.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</si>
</sst>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ichigan.gov/dtmb/-/media/Project/Websites/dtmb/Procurement/Design-and-Construction/Bid-Proposals/2026/October-28-2026--Bid-Results.pdf" TargetMode="External"/><Relationship Id="rId2" Type="http://schemas.openxmlformats.org/officeDocument/2006/relationships/hyperlink" Target="https://www.louisianabids.com/bid-result/danna_produce_building_demolition-15051946" TargetMode="External"/><Relationship Id="rId3" Type="http://schemas.openxmlformats.org/officeDocument/2006/relationships/hyperlink" Target="https://dot.ca.gov/programs/procurement-and-contracts/bid-results/bid-week-2026-10-18" TargetMode="External"/><Relationship Id="rId4" Type="http://schemas.openxmlformats.org/officeDocument/2006/relationships/hyperlink" Target="https://www.northcarolinabids.com/bid-result/abatement___demolition_herman_park_center-15063045" TargetMode="External"/><Relationship Id="rId5" Type="http://schemas.openxmlformats.org/officeDocument/2006/relationships/hyperlink" Target="https://dot.ca.gov/programs/procurement-and-contracts/bid-results/bid-week-2026-10-18" TargetMode="External"/><Relationship Id="rId6" Type="http://schemas.openxmlformats.org/officeDocument/2006/relationships/hyperlink" Target="https://www.southcarolinabids.com/bid-result/demolition_of_347_heritage_hills_dr.-15024061" TargetMode="External"/><Relationship Id="rId7" Type="http://schemas.openxmlformats.org/officeDocument/2006/relationships/hyperlink" Target="https://www.southcarolinabids.com/bid-result/demolition_of_347_heritage_hills_dr.-15024061" TargetMode="External"/><Relationship Id="rId8" Type="http://schemas.openxmlformats.org/officeDocument/2006/relationships/hyperlink" Target="https://dot.ca.gov/programs/procurement-and-contracts/bid-results/bid-week-2026-10-04" TargetMode="External"/><Relationship Id="rId9" Type="http://schemas.openxmlformats.org/officeDocument/2006/relationships/hyperlink" Target="https://dot.ca.gov/programs/procurement-and-contracts/bid-results/bid-week-2026-09-27" TargetMode="External"/><Relationship Id="rId10" Type="http://schemas.openxmlformats.org/officeDocument/2006/relationships/hyperlink" Target="https://www.arizonabids.net/bid-result/asbestos_abatement_and_demolition_project-14966257" TargetMode="External"/><Relationship Id="rId11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12" Type="http://schemas.openxmlformats.org/officeDocument/2006/relationships/hyperlink" Target="https://dot.ca.gov/programs/procurement-and-contracts/bid-results/bid-week-2026-10-18" TargetMode="External"/><Relationship Id="rId13" Type="http://schemas.openxmlformats.org/officeDocument/2006/relationships/hyperlink" Target="https://dot.ca.gov/programs/procurement-and-contracts/bid-results/bid-week-2026-10-04" TargetMode="External"/><Relationship Id="rId14" Type="http://schemas.openxmlformats.org/officeDocument/2006/relationships/hyperlink" Target="https://dot.ca.gov/programs/procurement-and-contracts/bid-results/bid-week-2026-09-13" TargetMode="External"/><Relationship Id="rId15" Type="http://schemas.openxmlformats.org/officeDocument/2006/relationships/hyperlink" Target="https://www.michigan.gov/dtmb/-/media/Project/Websites/dtmb/Procurement/Design-and-Construction/Bid-Proposals/2026/October-28-2026--Bid-Results.pdf" TargetMode="External"/><Relationship Id="rId16" Type="http://schemas.openxmlformats.org/officeDocument/2006/relationships/hyperlink" Target="https://dot.ca.gov/programs/procurement-and-contracts/bid-results/bid-week-2026-10-04" TargetMode="External"/><Relationship Id="rId17" Type="http://schemas.openxmlformats.org/officeDocument/2006/relationships/hyperlink" Target="https://dot.ca.gov/programs/procurement-and-contracts/bid-results/bid-week-2026-08-23" TargetMode="External"/><Relationship Id="rId18" Type="http://schemas.openxmlformats.org/officeDocument/2006/relationships/hyperlink" Target="https://dot.ca.gov/programs/procurement-and-contracts/bid-results/bid-week-2026-08-02" TargetMode="External"/><Relationship Id="rId19" Type="http://schemas.openxmlformats.org/officeDocument/2006/relationships/hyperlink" Target="https://www.northcarolinabids.com/bid-result/abatement___demolition_herman_park_center-15063045" TargetMode="External"/><Relationship Id="rId20" Type="http://schemas.openxmlformats.org/officeDocument/2006/relationships/hyperlink" Target="https://www.arkansasbids.com/bid-result/demolition_southwest_junior_high-15050423" TargetMode="External"/><Relationship Id="rId21" Type="http://schemas.openxmlformats.org/officeDocument/2006/relationships/hyperlink" Target="https://www.southcarolinabids.com/bid-result/demolition_of_347_heritage_hills_dr.-15024061" TargetMode="External"/><Relationship Id="rId22" Type="http://schemas.openxmlformats.org/officeDocument/2006/relationships/hyperlink" Target="https://dot.ca.gov/programs/procurement-and-contracts/bid-results/bid-week-2026-08-02" TargetMode="External"/><Relationship Id="rId23" Type="http://schemas.openxmlformats.org/officeDocument/2006/relationships/hyperlink" Target="https://dot.ca.gov/programs/procurement-and-contracts/bid-results/bid-week-2026-07-19" TargetMode="External"/><Relationship Id="rId24" Type="http://schemas.openxmlformats.org/officeDocument/2006/relationships/hyperlink" Target="https://www.michigan.gov/dtmb/-/media/Project/Websites/dtmb/Procurement/Design-and-Construction/Bid-Proposals/2026/October-28-2026--Bid-Results.pdf" TargetMode="External"/><Relationship Id="rId25" Type="http://schemas.openxmlformats.org/officeDocument/2006/relationships/hyperlink" Target="https://www.louisianabids.com/bid-result/danna_produce_building_demolition-15051946" TargetMode="External"/><Relationship Id="rId26" Type="http://schemas.openxmlformats.org/officeDocument/2006/relationships/hyperlink" Target="https://www.louisianabids.com/bid-result/danna_produce_building_demolition-15051946" TargetMode="External"/><Relationship Id="rId27" Type="http://schemas.openxmlformats.org/officeDocument/2006/relationships/hyperlink" Target="https://www.illinoisbids.com/bid-result/demolition_at_1006_15th_avenue-15061706" TargetMode="External"/><Relationship Id="rId28" Type="http://schemas.openxmlformats.org/officeDocument/2006/relationships/hyperlink" Target="https://www.illinoisbids.com/bid-result/demolition_at_1006_15th_avenue-15061706" TargetMode="External"/><Relationship Id="rId29" Type="http://schemas.openxmlformats.org/officeDocument/2006/relationships/hyperlink" Target="https://www.northcarolinabids.com/bid-result/abatement___demolition_herman_park_center-15063045" TargetMode="External"/><Relationship Id="rId30" Type="http://schemas.openxmlformats.org/officeDocument/2006/relationships/hyperlink" Target="https://www.michiganbids.net/bid-result/handball_racquet_ball_court_demolition-15055110" TargetMode="External"/><Relationship Id="rId31" Type="http://schemas.openxmlformats.org/officeDocument/2006/relationships/hyperlink" Target="https://www.michiganbids.net/bid-result/handball_racquet_ball_court_demolition-15055110" TargetMode="External"/><Relationship Id="rId32" Type="http://schemas.openxmlformats.org/officeDocument/2006/relationships/hyperlink" Target="https://www.michiganbids.net/bid-result/handball_racquet_ball_court_demolition-15055110" TargetMode="External"/><Relationship Id="rId33" Type="http://schemas.openxmlformats.org/officeDocument/2006/relationships/hyperlink" Target="https://www.arkansasbids.com/bid-result/demolition_southwest_junior_high-15050423" TargetMode="External"/><Relationship Id="rId34" Type="http://schemas.openxmlformats.org/officeDocument/2006/relationships/hyperlink" Target="https://www.arkansasbids.com/bid-result/demolition_southwest_junior_high-15050423" TargetMode="External"/><Relationship Id="rId35" Type="http://schemas.openxmlformats.org/officeDocument/2006/relationships/hyperlink" Target="https://www.illinoisbids.com/bid-result/demolition_of_structure_at_512_n._broadway-15044576" TargetMode="External"/><Relationship Id="rId36" Type="http://schemas.openxmlformats.org/officeDocument/2006/relationships/hyperlink" Target="https://www.illinoisbids.com/bid-result/demolition_of_structure_at_512_n._broadway-15044576" TargetMode="External"/><Relationship Id="rId37" Type="http://schemas.openxmlformats.org/officeDocument/2006/relationships/hyperlink" Target="https://www.illinoisbids.com/bid-result/demolition_of_structure_at_512_n._broadway-15044576" TargetMode="External"/><Relationship Id="rId38" Type="http://schemas.openxmlformats.org/officeDocument/2006/relationships/hyperlink" Target="https://www.nebraskabids.com/bid-result/demolition_of_one_structure-15048798" TargetMode="External"/><Relationship Id="rId39" Type="http://schemas.openxmlformats.org/officeDocument/2006/relationships/hyperlink" Target="https://dot.ca.gov/programs/procurement-and-contracts/bid-results/bid-week-2026-10-04" TargetMode="External"/><Relationship Id="rId40" Type="http://schemas.openxmlformats.org/officeDocument/2006/relationships/hyperlink" Target="https://dot.ca.gov/programs/procurement-and-contracts/bid-results/bid-week-2026-09-13" TargetMode="External"/><Relationship Id="rId41" Type="http://schemas.openxmlformats.org/officeDocument/2006/relationships/hyperlink" Target="https://dot.ca.gov/programs/procurement-and-contracts/bid-results/bid-week-2026-09-13" TargetMode="External"/><Relationship Id="rId42" Type="http://schemas.openxmlformats.org/officeDocument/2006/relationships/hyperlink" Target="https://dot.ca.gov/programs/procurement-and-contracts/bid-results/bid-week-2026-09-13" TargetMode="External"/><Relationship Id="rId43" Type="http://schemas.openxmlformats.org/officeDocument/2006/relationships/hyperlink" Target="https://www.ohiobids.com/bid-result/remedial_activities__former_ohio_cast_products-15013026" TargetMode="External"/><Relationship Id="rId44" Type="http://schemas.openxmlformats.org/officeDocument/2006/relationships/hyperlink" Target="https://www.connecticutbids.com/bid-result/engine__2_tank_removal-14972653" TargetMode="External"/><Relationship Id="rId45" Type="http://schemas.openxmlformats.org/officeDocument/2006/relationships/hyperlink" Target="https://www.connecticutbids.com/bid-result/engine__2_tank_removal-14972653" TargetMode="External"/><Relationship Id="rId46" Type="http://schemas.openxmlformats.org/officeDocument/2006/relationships/hyperlink" Target="https://www.arizonabids.net/bid-result/asbestos_abatement_and_demolition_project-14966257" TargetMode="External"/><Relationship Id="rId47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48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49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50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51" Type="http://schemas.openxmlformats.org/officeDocument/2006/relationships/hyperlink" Target="https://dot.ca.gov/programs/procurement-and-contracts/bid-results/bid-week-2026-10-18" TargetMode="External"/><Relationship Id="rId52" Type="http://schemas.openxmlformats.org/officeDocument/2006/relationships/hyperlink" Target="https://www.ohiobids.com/bid-result/remedial_activities__former_ohio_cast_products-15013026" TargetMode="External"/><Relationship Id="rId53" Type="http://schemas.openxmlformats.org/officeDocument/2006/relationships/hyperlink" Target="https://www.ohiobids.com/bid-result/remedial_activities__former_ohio_cast_products-15013026" TargetMode="External"/><Relationship Id="rId54" Type="http://schemas.openxmlformats.org/officeDocument/2006/relationships/hyperlink" Target="https://www.connecticutbids.com/bid-result/engine__2_tank_removal-14972653" TargetMode="External"/><Relationship Id="rId55" Type="http://schemas.openxmlformats.org/officeDocument/2006/relationships/hyperlink" Target="https://www.arizonabids.net/bid-result/asbestos_abatement_and_demolition_project-14966257" TargetMode="External"/><Relationship Id="rId56" Type="http://schemas.openxmlformats.org/officeDocument/2006/relationships/hyperlink" Target="https://dot.ca.gov/programs/procurement-and-contracts/bid-results/bid-week-2026-08-23" TargetMode="External"/><Relationship Id="rId57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58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59" Type="http://schemas.openxmlformats.org/officeDocument/2006/relationships/hyperlink" Target="https://www.iowabids.com/bid-result/general___9__10_11__13_14_melrose_place___raze_buildings_-14904059" TargetMode="External"/><Relationship Id="rId60" Type="http://schemas.openxmlformats.org/officeDocument/2006/relationships/hyperlink" Target="https://wichitafallstx.gov/DocumentCenter/View/49174/BID-TAB-26-33-ASBESTOS-ABATEMENT-OF-MEMORIAL-AUDITORIUM-VENUE?bidId=" TargetMode="External"/><Relationship Id="rId61" Type="http://schemas.openxmlformats.org/officeDocument/2006/relationships/hyperlink" Target="https://www.michigan.gov/dtmb/-/media/Project/Websites/dtmb/Procurement/Design-and-Construction/Bid-Proposals/2026/July-01-2026--Bid-Results.pdf" TargetMode="External"/><Relationship Id="rId62" Type="http://schemas.openxmlformats.org/officeDocument/2006/relationships/hyperlink" Target="https://dot.ca.gov/programs/procurement-and-contracts/bid-results/bid-week-2026-06-21" TargetMode="External"/><Relationship Id="rId63" Type="http://schemas.openxmlformats.org/officeDocument/2006/relationships/hyperlink" Target="https://www.sumtersc.gov/sites/default/files/uploads/bid-tab-itb-16-25-26-asbestos-abatement.pdf" TargetMode="External"/><Relationship Id="rId64" Type="http://schemas.openxmlformats.org/officeDocument/2006/relationships/hyperlink" Target="https://www.sumtersc.gov/sites/default/files/uploads/bid-tab-itb-16-25-26-asbestos-abatement.pdf" TargetMode="External"/><Relationship Id="rId65" Type="http://schemas.openxmlformats.org/officeDocument/2006/relationships/hyperlink" Target="https://www.cityofdouglasga.gov/DocumentCenter/View/12656/FY26-Asbestos-Abatement-Demo-0014-Vendor-Bid-Tabulation" TargetMode="External"/><Relationship Id="rId66" Type="http://schemas.openxmlformats.org/officeDocument/2006/relationships/hyperlink" Target="https://dot.ca.gov/programs/procurement-and-contracts/bid-results/bid-week-2026-08-16" TargetMode="External"/><Relationship Id="rId67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68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69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70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71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72" Type="http://schemas.openxmlformats.org/officeDocument/2006/relationships/hyperlink" Target="https://dot.ca.gov/programs/procurement-and-contracts/bid-results/bid-week-2026-08-02" TargetMode="External"/><Relationship Id="rId73" Type="http://schemas.openxmlformats.org/officeDocument/2006/relationships/hyperlink" Target="https://www.iowabids.com/bid-result/general___9__10_11__13_14_melrose_place___raze_buildings_-14904059" TargetMode="External"/><Relationship Id="rId74" Type="http://schemas.openxmlformats.org/officeDocument/2006/relationships/hyperlink" Target="https://dot.ca.gov/programs/procurement-and-contracts/bid-results/bid-week-2026-07-19" TargetMode="External"/><Relationship Id="rId75" Type="http://schemas.openxmlformats.org/officeDocument/2006/relationships/hyperlink" Target="https://wichitafallstx.gov/DocumentCenter/View/49174/BID-TAB-26-33-ASBESTOS-ABATEMENT-OF-MEMORIAL-AUDITORIUM-VENUE?bidId=" TargetMode="External"/><Relationship Id="rId76" Type="http://schemas.openxmlformats.org/officeDocument/2006/relationships/hyperlink" Target="https://wichitafallstx.gov/DocumentCenter/View/49174/BID-TAB-26-33-ASBESTOS-ABATEMENT-OF-MEMORIAL-AUDITORIUM-VENUE?bidId=" TargetMode="External"/><Relationship Id="rId77" Type="http://schemas.openxmlformats.org/officeDocument/2006/relationships/hyperlink" Target="https://dot.ca.gov/programs/procurement-and-contracts/bid-results/bid-week-2026-06-21" TargetMode="External"/><Relationship Id="rId78" Type="http://schemas.openxmlformats.org/officeDocument/2006/relationships/hyperlink" Target="https://www.cityofflorencesc.gov/sites/default/files/uploads/bids/2026-30-bid-tabulation.pdf" TargetMode="External"/><Relationship Id="rId79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80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81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82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83" Type="http://schemas.openxmlformats.org/officeDocument/2006/relationships/hyperlink" Target="https://media-002-us.cdn.govstack.com/lafayettela-us/media/sqml0ive/bid-tab-for-asbestos-abatement-and-demolition-at-2100-ne-evengline-thruway-including-rejected-bidders.pdf" TargetMode="External"/><Relationship Id="rId84" Type="http://schemas.openxmlformats.org/officeDocument/2006/relationships/hyperlink" Target="https://www.sumtersc.gov/sites/default/files/uploads/bid-tab-itb-16-25-26-asbestos-abatement.pdf" TargetMode="External"/><Relationship Id="rId85" Type="http://schemas.openxmlformats.org/officeDocument/2006/relationships/hyperlink" Target="https://www.cityofdouglasga.gov/DocumentCenter/View/12656/FY26-Asbestos-Abatement-Demo-0014-Vendor-Bid-Tabulation" TargetMode="External"/><Relationship Id="rId86" Type="http://schemas.openxmlformats.org/officeDocument/2006/relationships/hyperlink" Target="https://www.cityofdouglasga.gov/DocumentCenter/View/12656/FY26-Asbestos-Abatement-Demo-0014-Vendor-Bid-Tabulation" TargetMode="External"/><Relationship Id="rId87" Type="http://schemas.openxmlformats.org/officeDocument/2006/relationships/hyperlink" Target="https://www.cityofdouglasga.gov/DocumentCenter/View/12656/FY26-Asbestos-Abatement-Demo-0014-Vendor-Bid-Tabulation" TargetMode="External"/><Relationship Id="rId88" Type="http://schemas.openxmlformats.org/officeDocument/2006/relationships/hyperlink" Target="https://www.cityofdouglasga.gov/DocumentCenter/View/12656/FY26-Asbestos-Abatement-Demo-0014-Vendor-Bid-Tabulation" TargetMode="External"/><Relationship Id="rId89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9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ompletemarkets.com/company/legends-environmental-services/Surety-Bonds-Insurance/" TargetMode="External"/><Relationship Id="rId2" Type="http://schemas.openxmlformats.org/officeDocument/2006/relationships/hyperlink" Target="https://completemarkets.com/StoreFrontSummary.aspx?id=294" TargetMode="External"/><Relationship Id="rId3" Type="http://schemas.openxmlformats.org/officeDocument/2006/relationships/hyperlink" Target="https://thebluebook.com/iProView/261628" TargetMode="External"/><Relationship Id="rId4" Type="http://schemas.openxmlformats.org/officeDocument/2006/relationships/hyperlink" Target="https://skywardinsurance.com/?p=4156" TargetMode="External"/><Relationship Id="rId5" Type="http://schemas.openxmlformats.org/officeDocument/2006/relationships/hyperlink" Target="https://www.mynewmarkets.com/listings/fdtiye" TargetMode="External"/><Relationship Id="rId6" Type="http://schemas.openxmlformats.org/officeDocument/2006/relationships/hyperlink" Target="https://www.mcneilandcompany.com/app/uploads/2026/03/McNeil-Surety-Flyer.pdf" TargetMode="External"/><Relationship Id="rId7" Type="http://schemas.openxmlformats.org/officeDocument/2006/relationships/hyperlink" Target="https://www.acrisure.com/surety-bonds" TargetMode="External"/><Relationship Id="rId8" Type="http://schemas.openxmlformats.org/officeDocument/2006/relationships/hyperlink" Target="https://fieldflo.com/state-of-estimating" TargetMode="External"/><Relationship Id="rId9" Type="http://schemas.openxmlformats.org/officeDocument/2006/relationships/hyperlink" Target="https://sourceforge.net/software/product/Demotek/" TargetMode="External"/><Relationship Id="rId10" Type="http://schemas.openxmlformats.org/officeDocument/2006/relationships/hyperlink" Target="https://constructionbids.ai/resources/constructconnect-alternatives" TargetMode="External"/><Relationship Id="rId11" Type="http://schemas.openxmlformats.org/officeDocument/2006/relationships/hyperlink" Target="https://starbridge.ai/blog/constructconnect-alternatives" TargetMode="External"/><Relationship Id="rId12" Type="http://schemas.openxmlformats.org/officeDocument/2006/relationships/hyperlink" Target="https://constructionbids.ai/resources/constructconnect-alternatives" TargetMode="External"/><Relationship Id="rId13" Type="http://schemas.openxmlformats.org/officeDocument/2006/relationships/hyperlink" Target="https://constructionbids.ai/resources/constructconnect-alternatives" TargetMode="External"/><Relationship Id="rId14" Type="http://schemas.openxmlformats.org/officeDocument/2006/relationships/hyperlink" Target="https://starbridge.ai/blog/constructconnect-alternatives" TargetMode="External"/><Relationship Id="rId15" Type="http://schemas.openxmlformats.org/officeDocument/2006/relationships/hyperlink" Target="https://www.1stcommercialcredit.com/leasing-industries/demolition" TargetMode="External"/><Relationship Id="rId16" Type="http://schemas.openxmlformats.org/officeDocument/2006/relationships/hyperlink" Target="https://www.topmarkfunding.com/excavators" TargetMode="External"/><Relationship Id="rId17" Type="http://schemas.openxmlformats.org/officeDocument/2006/relationships/hyperlink" Target="https://www.crestmontcapital.com/blog/demolition-business-loans-complete-guide" TargetMode="External"/><Relationship Id="rId18" Type="http://schemas.openxmlformats.org/officeDocument/2006/relationships/hyperlink" Target="https://www.cdrecycler.com/news/lbx-capital-introduction" TargetMode="External"/><Relationship Id="rId19" Type="http://schemas.openxmlformats.org/officeDocument/2006/relationships/hyperlink" Target="https://govconinabox.com/explore/smb-federal-contractors/tn-federal-consulting-llc-NBK8YAVN7VM8" TargetMode="External"/><Relationship Id="rId20" Type="http://schemas.openxmlformats.org/officeDocument/2006/relationships/hyperlink" Target="https://richlandsource.com/2026/10/23/land-bank-approves-change-order-for-added-asbestos-abatement-at-west-park-shopping-center" TargetMode="External"/><Relationship Id="rId21" Type="http://schemas.openxmlformats.org/officeDocument/2006/relationships/hyperlink" Target="https://www.arkansasbids.com/bid-result/demolition_southwest_junior_high-15050423" TargetMode="External"/><Relationship Id="rId22" Type="http://schemas.openxmlformats.org/officeDocument/2006/relationships/hyperlink" Target="https://www.northcarolinabids.com/bid-result/abatement___demolition_herman_park_center-15063045" TargetMode="External"/><Relationship Id="rId23" Type="http://schemas.openxmlformats.org/officeDocument/2006/relationships/hyperlink" Target="https://www.newyorkbids.net/bid-result/cuny_john_jay_college___haaren_hall_facade_restoration___asbestos_abatement-15013407" TargetMode="External"/><Relationship Id="rId24" Type="http://schemas.openxmlformats.org/officeDocument/2006/relationships/hyperlink" Target="https://www.arizonabids.net/bid-result/asbestos_abatement_and_demolition_project-14966257" TargetMode="External"/><Relationship Id="rId25" Type="http://schemas.openxmlformats.org/officeDocument/2006/relationships/hyperlink" Target="https://www.louisianabids.com/bid-result/danna_produce_building_demolition-15051946" TargetMode="External"/><Relationship Id="rId26" Type="http://schemas.openxmlformats.org/officeDocument/2006/relationships/hyperlink" Target="https://www.iowabids.com/bid-result/general___9__10_11__13_14_melrose_place___raze_buildings_-14904059" TargetMode="External"/><Relationship Id="rId27" Type="http://schemas.openxmlformats.org/officeDocument/2006/relationships/hyperlink" Target="https://www.michigan.gov/dtmb/-/media/Project/Websites/dtmb/Procurement/Design-and-Construction/Bid-Proposals/2026/August-12-2026--Bid-Results.pdf" TargetMode="External"/><Relationship Id="rId28" Type="http://schemas.openxmlformats.org/officeDocument/2006/relationships/hyperlink" Target="https://dot.ca.gov/programs/procurement-and-contracts/bid-results/bid-week-2026-08-23" TargetMode="External"/><Relationship Id="rId29" Type="http://schemas.openxmlformats.org/officeDocument/2006/relationships/hyperlink" Target="https://dot.ca.gov/programs/procurement-and-contracts/bid-results/bid-week-2026-09-13" TargetMode="External"/><Relationship Id="rId30" Type="http://schemas.openxmlformats.org/officeDocument/2006/relationships/hyperlink" Target="https://www.illinoisbids.com/bid-result/demolition_at_1006_15th_avenue-1506170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30"/>
    <col collapsed="false" customWidth="true" hidden="false" outlineLevel="0" max="14" min="14" style="0" width="22"/>
    <col collapsed="false" customWidth="true" hidden="false" outlineLevel="0" max="15" min="15" style="0" width="11"/>
    <col collapsed="false" customWidth="true" hidden="false" outlineLevel="0" max="16" min="16" style="0" width="70"/>
    <col collapsed="false" customWidth="true" hidden="false" outlineLevel="0" max="17" min="17" style="0" width="15"/>
    <col collapsed="false" customWidth="true" hidden="false" outlineLevel="0" max="18" min="18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3.8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3" t="n">
        <v>46323</v>
      </c>
      <c r="F2" s="4" t="n">
        <v>224752</v>
      </c>
      <c r="G2" s="4" t="n">
        <v>205903.75</v>
      </c>
      <c r="H2" s="2" t="s">
        <v>22</v>
      </c>
      <c r="I2" s="5" t="n">
        <f aca="false">IF(OR(F2="",G2=""),"",(F2-G2)/G2)</f>
        <v>0.0915391293262022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6" t="s">
        <v>29</v>
      </c>
      <c r="Q2" s="7" t="s">
        <v>30</v>
      </c>
      <c r="R2" s="8" t="s">
        <v>31</v>
      </c>
    </row>
    <row r="3" customFormat="false" ht="23.85" hidden="false" customHeight="false" outlineLevel="0" collapsed="false">
      <c r="A3" s="2" t="s">
        <v>32</v>
      </c>
      <c r="B3" s="2" t="s">
        <v>33</v>
      </c>
      <c r="C3" s="2" t="s">
        <v>34</v>
      </c>
      <c r="D3" s="2" t="s">
        <v>35</v>
      </c>
      <c r="E3" s="3" t="n">
        <v>46322</v>
      </c>
      <c r="F3" s="4" t="n">
        <v>198950</v>
      </c>
      <c r="G3" s="4" t="n">
        <v>192500</v>
      </c>
      <c r="H3" s="2" t="s">
        <v>36</v>
      </c>
      <c r="I3" s="5" t="n">
        <f aca="false">IF(OR(F3="",G3=""),"",(F3-G3)/G3)</f>
        <v>0.0335064935064935</v>
      </c>
      <c r="J3" s="2" t="s">
        <v>37</v>
      </c>
      <c r="K3" s="2"/>
      <c r="L3" s="2"/>
      <c r="M3" s="2"/>
      <c r="N3" s="2"/>
      <c r="O3" s="2" t="s">
        <v>38</v>
      </c>
      <c r="P3" s="6" t="s">
        <v>39</v>
      </c>
      <c r="Q3" s="7" t="s">
        <v>30</v>
      </c>
      <c r="R3" s="8" t="s">
        <v>31</v>
      </c>
    </row>
    <row r="4" customFormat="false" ht="23.85" hidden="false" customHeight="false" outlineLevel="0" collapsed="false">
      <c r="A4" s="2" t="s">
        <v>40</v>
      </c>
      <c r="B4" s="2" t="s">
        <v>41</v>
      </c>
      <c r="C4" s="2" t="s">
        <v>42</v>
      </c>
      <c r="D4" s="2" t="s">
        <v>43</v>
      </c>
      <c r="E4" s="3" t="n">
        <v>46317</v>
      </c>
      <c r="F4" s="4" t="n">
        <v>1243925</v>
      </c>
      <c r="G4" s="4" t="n">
        <v>1111986.8</v>
      </c>
      <c r="H4" s="2" t="s">
        <v>44</v>
      </c>
      <c r="I4" s="5" t="n">
        <f aca="false">IF(OR(F4="",G4=""),"",(F4-G4)/G4)</f>
        <v>0.11865086887722</v>
      </c>
      <c r="J4" s="2" t="s">
        <v>37</v>
      </c>
      <c r="K4" s="2"/>
      <c r="L4" s="2" t="s">
        <v>45</v>
      </c>
      <c r="M4" s="2" t="s">
        <v>46</v>
      </c>
      <c r="N4" s="2" t="s">
        <v>47</v>
      </c>
      <c r="O4" s="2" t="s">
        <v>28</v>
      </c>
      <c r="P4" s="6" t="s">
        <v>48</v>
      </c>
      <c r="Q4" s="7" t="s">
        <v>30</v>
      </c>
      <c r="R4" s="8" t="s">
        <v>31</v>
      </c>
    </row>
    <row r="5" customFormat="false" ht="23.85" hidden="false" customHeight="false" outlineLevel="0" collapsed="false">
      <c r="A5" s="2" t="s">
        <v>49</v>
      </c>
      <c r="B5" s="2" t="s">
        <v>50</v>
      </c>
      <c r="C5" s="2" t="s">
        <v>51</v>
      </c>
      <c r="D5" s="2" t="s">
        <v>52</v>
      </c>
      <c r="E5" s="3" t="n">
        <v>46317</v>
      </c>
      <c r="F5" s="4" t="n">
        <v>363000</v>
      </c>
      <c r="G5" s="4" t="n">
        <v>246100</v>
      </c>
      <c r="H5" s="2" t="s">
        <v>53</v>
      </c>
      <c r="I5" s="5" t="n">
        <f aca="false">IF(OR(F5="",G5=""),"",(F5-G5)/G5)</f>
        <v>0.475010158472166</v>
      </c>
      <c r="J5" s="2" t="s">
        <v>37</v>
      </c>
      <c r="K5" s="2"/>
      <c r="L5" s="2" t="s">
        <v>54</v>
      </c>
      <c r="M5" s="2" t="s">
        <v>55</v>
      </c>
      <c r="N5" s="2" t="s">
        <v>56</v>
      </c>
      <c r="O5" s="2" t="s">
        <v>28</v>
      </c>
      <c r="P5" s="6" t="s">
        <v>57</v>
      </c>
      <c r="Q5" s="7" t="s">
        <v>30</v>
      </c>
      <c r="R5" s="8" t="s">
        <v>31</v>
      </c>
    </row>
    <row r="6" customFormat="false" ht="23.85" hidden="false" customHeight="false" outlineLevel="0" collapsed="false">
      <c r="A6" s="2" t="s">
        <v>58</v>
      </c>
      <c r="B6" s="2" t="s">
        <v>59</v>
      </c>
      <c r="C6" s="2" t="s">
        <v>60</v>
      </c>
      <c r="D6" s="2" t="s">
        <v>43</v>
      </c>
      <c r="E6" s="3" t="n">
        <v>46315</v>
      </c>
      <c r="F6" s="4" t="n">
        <v>1250009</v>
      </c>
      <c r="G6" s="4" t="n">
        <v>923330.75</v>
      </c>
      <c r="H6" s="2" t="s">
        <v>44</v>
      </c>
      <c r="I6" s="5" t="n">
        <f aca="false">IF(OR(F6="",G6=""),"",(F6-G6)/G6)</f>
        <v>0.353804148730019</v>
      </c>
      <c r="J6" s="2" t="s">
        <v>37</v>
      </c>
      <c r="K6" s="2"/>
      <c r="L6" s="2" t="s">
        <v>61</v>
      </c>
      <c r="M6" s="2" t="s">
        <v>62</v>
      </c>
      <c r="N6" s="2" t="s">
        <v>63</v>
      </c>
      <c r="O6" s="2" t="s">
        <v>28</v>
      </c>
      <c r="P6" s="6" t="s">
        <v>64</v>
      </c>
      <c r="Q6" s="7" t="s">
        <v>30</v>
      </c>
      <c r="R6" s="8" t="s">
        <v>31</v>
      </c>
    </row>
    <row r="7" customFormat="false" ht="23.85" hidden="false" customHeight="false" outlineLevel="0" collapsed="false">
      <c r="A7" s="2" t="s">
        <v>65</v>
      </c>
      <c r="B7" s="2" t="s">
        <v>66</v>
      </c>
      <c r="C7" s="2" t="s">
        <v>67</v>
      </c>
      <c r="D7" s="2" t="s">
        <v>68</v>
      </c>
      <c r="E7" s="3" t="n">
        <v>46308</v>
      </c>
      <c r="F7" s="4" t="n">
        <v>20320</v>
      </c>
      <c r="G7" s="4" t="n">
        <v>14997</v>
      </c>
      <c r="H7" s="2" t="s">
        <v>69</v>
      </c>
      <c r="I7" s="5" t="n">
        <f aca="false">IF(OR(F7="",G7=""),"",(F7-G7)/G7)</f>
        <v>0.354937654197506</v>
      </c>
      <c r="J7" s="2" t="s">
        <v>37</v>
      </c>
      <c r="K7" s="2"/>
      <c r="L7" s="2" t="s">
        <v>70</v>
      </c>
      <c r="M7" s="2"/>
      <c r="N7" s="2"/>
      <c r="O7" s="2" t="s">
        <v>71</v>
      </c>
      <c r="P7" s="6" t="s">
        <v>72</v>
      </c>
      <c r="Q7" s="7" t="s">
        <v>30</v>
      </c>
      <c r="R7" s="8" t="s">
        <v>31</v>
      </c>
    </row>
    <row r="8" customFormat="false" ht="23.85" hidden="false" customHeight="false" outlineLevel="0" collapsed="false">
      <c r="A8" s="2" t="s">
        <v>73</v>
      </c>
      <c r="B8" s="2" t="s">
        <v>74</v>
      </c>
      <c r="C8" s="2" t="s">
        <v>67</v>
      </c>
      <c r="D8" s="2" t="s">
        <v>68</v>
      </c>
      <c r="E8" s="3" t="n">
        <v>46308</v>
      </c>
      <c r="F8" s="4" t="n">
        <v>24000</v>
      </c>
      <c r="G8" s="4" t="n">
        <v>14997</v>
      </c>
      <c r="H8" s="2" t="s">
        <v>69</v>
      </c>
      <c r="I8" s="5" t="n">
        <f aca="false">IF(OR(F8="",G8=""),"",(F8-G8)/G8)</f>
        <v>0.600320064012803</v>
      </c>
      <c r="J8" s="2" t="s">
        <v>37</v>
      </c>
      <c r="K8" s="2"/>
      <c r="L8" s="2" t="s">
        <v>75</v>
      </c>
      <c r="M8" s="2" t="s">
        <v>76</v>
      </c>
      <c r="N8" s="2"/>
      <c r="O8" s="2" t="s">
        <v>71</v>
      </c>
      <c r="P8" s="6" t="s">
        <v>77</v>
      </c>
      <c r="Q8" s="7" t="s">
        <v>30</v>
      </c>
      <c r="R8" s="8" t="s">
        <v>31</v>
      </c>
    </row>
    <row r="9" customFormat="false" ht="35.05" hidden="false" customHeight="false" outlineLevel="0" collapsed="false">
      <c r="A9" s="2" t="s">
        <v>78</v>
      </c>
      <c r="B9" s="2" t="s">
        <v>79</v>
      </c>
      <c r="C9" s="2" t="s">
        <v>80</v>
      </c>
      <c r="D9" s="2" t="s">
        <v>43</v>
      </c>
      <c r="E9" s="3" t="n">
        <v>46302</v>
      </c>
      <c r="F9" s="4" t="n">
        <v>366005</v>
      </c>
      <c r="G9" s="4" t="n">
        <v>283875</v>
      </c>
      <c r="H9" s="2" t="s">
        <v>81</v>
      </c>
      <c r="I9" s="5" t="n">
        <f aca="false">IF(OR(F9="",G9=""),"",(F9-G9)/G9)</f>
        <v>0.289317481285777</v>
      </c>
      <c r="J9" s="2" t="s">
        <v>37</v>
      </c>
      <c r="K9" s="2"/>
      <c r="L9" s="2" t="s">
        <v>82</v>
      </c>
      <c r="M9" s="2" t="s">
        <v>83</v>
      </c>
      <c r="N9" s="2" t="s">
        <v>84</v>
      </c>
      <c r="O9" s="2" t="s">
        <v>28</v>
      </c>
      <c r="P9" s="6" t="s">
        <v>85</v>
      </c>
      <c r="Q9" s="7" t="s">
        <v>30</v>
      </c>
      <c r="R9" s="8" t="s">
        <v>31</v>
      </c>
    </row>
    <row r="10" customFormat="false" ht="23.85" hidden="false" customHeight="false" outlineLevel="0" collapsed="false">
      <c r="A10" s="2" t="s">
        <v>86</v>
      </c>
      <c r="B10" s="2" t="s">
        <v>87</v>
      </c>
      <c r="C10" s="2" t="s">
        <v>88</v>
      </c>
      <c r="D10" s="2" t="s">
        <v>43</v>
      </c>
      <c r="E10" s="3" t="n">
        <v>46296</v>
      </c>
      <c r="F10" s="4" t="n">
        <v>2176500</v>
      </c>
      <c r="G10" s="4" t="n">
        <v>2162985</v>
      </c>
      <c r="H10" s="2" t="s">
        <v>89</v>
      </c>
      <c r="I10" s="5" t="n">
        <f aca="false">IF(OR(F10="",G10=""),"",(F10-G10)/G10)</f>
        <v>0.00624830962766732</v>
      </c>
      <c r="J10" s="2" t="s">
        <v>37</v>
      </c>
      <c r="K10" s="2"/>
      <c r="L10" s="2"/>
      <c r="M10" s="2"/>
      <c r="N10" s="2"/>
      <c r="O10" s="2" t="s">
        <v>38</v>
      </c>
      <c r="P10" s="6" t="s">
        <v>90</v>
      </c>
      <c r="Q10" s="7" t="s">
        <v>30</v>
      </c>
      <c r="R10" s="8" t="s">
        <v>31</v>
      </c>
    </row>
    <row r="11" customFormat="false" ht="23.85" hidden="false" customHeight="false" outlineLevel="0" collapsed="false">
      <c r="A11" s="2" t="s">
        <v>91</v>
      </c>
      <c r="B11" s="2" t="s">
        <v>92</v>
      </c>
      <c r="C11" s="2" t="s">
        <v>93</v>
      </c>
      <c r="D11" s="2" t="s">
        <v>94</v>
      </c>
      <c r="E11" s="3" t="n">
        <v>46268</v>
      </c>
      <c r="F11" s="4" t="n">
        <v>493985</v>
      </c>
      <c r="G11" s="4" t="n">
        <v>479750</v>
      </c>
      <c r="H11" s="2" t="s">
        <v>95</v>
      </c>
      <c r="I11" s="5" t="n">
        <f aca="false">IF(OR(F11="",G11=""),"",(F11-G11)/G11)</f>
        <v>0.0296717040125065</v>
      </c>
      <c r="J11" s="2" t="s">
        <v>96</v>
      </c>
      <c r="K11" s="2" t="s">
        <v>97</v>
      </c>
      <c r="L11" s="2" t="s">
        <v>98</v>
      </c>
      <c r="M11" s="2"/>
      <c r="N11" s="2" t="s">
        <v>99</v>
      </c>
      <c r="O11" s="2" t="s">
        <v>71</v>
      </c>
      <c r="P11" s="6" t="s">
        <v>100</v>
      </c>
      <c r="Q11" s="7" t="s">
        <v>30</v>
      </c>
      <c r="R11" s="8" t="s">
        <v>31</v>
      </c>
    </row>
    <row r="12" customFormat="false" ht="23.85" hidden="false" customHeight="false" outlineLevel="0" collapsed="false">
      <c r="A12" s="2" t="s">
        <v>101</v>
      </c>
      <c r="B12" s="2" t="s">
        <v>102</v>
      </c>
      <c r="C12" s="2" t="s">
        <v>103</v>
      </c>
      <c r="D12" s="2" t="s">
        <v>21</v>
      </c>
      <c r="E12" s="3" t="n">
        <v>46246</v>
      </c>
      <c r="F12" s="4"/>
      <c r="G12" s="4" t="n">
        <v>125000</v>
      </c>
      <c r="H12" s="2" t="s">
        <v>104</v>
      </c>
      <c r="I12" s="5" t="str">
        <f aca="false">IF(OR(F12="",G12=""),"",(F12-G12)/G12)</f>
        <v/>
      </c>
      <c r="J12" s="2" t="s">
        <v>105</v>
      </c>
      <c r="K12" s="2" t="s">
        <v>106</v>
      </c>
      <c r="L12" s="2" t="s">
        <v>107</v>
      </c>
      <c r="M12" s="2" t="s">
        <v>108</v>
      </c>
      <c r="N12" s="2" t="s">
        <v>109</v>
      </c>
      <c r="O12" s="2" t="s">
        <v>28</v>
      </c>
      <c r="P12" s="6" t="s">
        <v>110</v>
      </c>
      <c r="Q12" s="7" t="s">
        <v>30</v>
      </c>
      <c r="R12" s="8" t="s">
        <v>31</v>
      </c>
    </row>
    <row r="13" customFormat="false" ht="23.85" hidden="false" customHeight="false" outlineLevel="0" collapsed="false">
      <c r="A13" s="2" t="s">
        <v>111</v>
      </c>
      <c r="B13" s="2" t="s">
        <v>112</v>
      </c>
      <c r="C13" s="2" t="s">
        <v>60</v>
      </c>
      <c r="D13" s="2" t="s">
        <v>43</v>
      </c>
      <c r="E13" s="3" t="n">
        <v>46315</v>
      </c>
      <c r="F13" s="4" t="n">
        <v>1235711.25</v>
      </c>
      <c r="G13" s="4" t="n">
        <v>923330.75</v>
      </c>
      <c r="H13" s="2" t="s">
        <v>44</v>
      </c>
      <c r="I13" s="5" t="n">
        <f aca="false">IF(OR(F13="",G13=""),"",(F13-G13)/G13)</f>
        <v>0.338319177607807</v>
      </c>
      <c r="J13" s="2" t="s">
        <v>113</v>
      </c>
      <c r="K13" s="2"/>
      <c r="L13" s="2" t="s">
        <v>114</v>
      </c>
      <c r="M13" s="2"/>
      <c r="N13" s="2"/>
      <c r="O13" s="2" t="s">
        <v>71</v>
      </c>
      <c r="P13" s="6" t="s">
        <v>115</v>
      </c>
      <c r="Q13" s="7" t="s">
        <v>30</v>
      </c>
      <c r="R13" s="8" t="s">
        <v>31</v>
      </c>
    </row>
    <row r="14" customFormat="false" ht="35.05" hidden="false" customHeight="false" outlineLevel="0" collapsed="false">
      <c r="A14" s="2" t="s">
        <v>116</v>
      </c>
      <c r="B14" s="2" t="s">
        <v>117</v>
      </c>
      <c r="C14" s="2" t="s">
        <v>118</v>
      </c>
      <c r="D14" s="2" t="s">
        <v>43</v>
      </c>
      <c r="E14" s="3" t="n">
        <v>46301</v>
      </c>
      <c r="F14" s="4" t="n">
        <v>560127.5</v>
      </c>
      <c r="G14" s="4" t="n">
        <v>408936</v>
      </c>
      <c r="H14" s="2" t="s">
        <v>44</v>
      </c>
      <c r="I14" s="5" t="n">
        <f aca="false">IF(OR(F14="",G14=""),"",(F14-G14)/G14)</f>
        <v>0.369719222567835</v>
      </c>
      <c r="J14" s="2" t="s">
        <v>119</v>
      </c>
      <c r="K14" s="2" t="s">
        <v>120</v>
      </c>
      <c r="L14" s="2" t="s">
        <v>121</v>
      </c>
      <c r="M14" s="2" t="s">
        <v>122</v>
      </c>
      <c r="N14" s="2" t="s">
        <v>123</v>
      </c>
      <c r="O14" s="2" t="s">
        <v>28</v>
      </c>
      <c r="P14" s="6" t="s">
        <v>124</v>
      </c>
      <c r="Q14" s="7" t="s">
        <v>30</v>
      </c>
      <c r="R14" s="8" t="s">
        <v>31</v>
      </c>
    </row>
    <row r="15" customFormat="false" ht="35.05" hidden="false" customHeight="false" outlineLevel="0" collapsed="false">
      <c r="A15" s="2" t="s">
        <v>125</v>
      </c>
      <c r="B15" s="2" t="s">
        <v>126</v>
      </c>
      <c r="C15" s="2" t="s">
        <v>127</v>
      </c>
      <c r="D15" s="2" t="s">
        <v>43</v>
      </c>
      <c r="E15" s="3" t="n">
        <v>46282</v>
      </c>
      <c r="F15" s="4" t="n">
        <v>809000</v>
      </c>
      <c r="G15" s="4" t="n">
        <v>301800</v>
      </c>
      <c r="H15" s="2" t="s">
        <v>128</v>
      </c>
      <c r="I15" s="5" t="n">
        <f aca="false">IF(OR(F15="",G15=""),"",(F15-G15)/G15)</f>
        <v>1.6805831676607</v>
      </c>
      <c r="J15" s="2" t="s">
        <v>129</v>
      </c>
      <c r="K15" s="2" t="s">
        <v>130</v>
      </c>
      <c r="L15" s="2" t="s">
        <v>131</v>
      </c>
      <c r="M15" s="2" t="s">
        <v>132</v>
      </c>
      <c r="N15" s="2" t="s">
        <v>133</v>
      </c>
      <c r="O15" s="2" t="s">
        <v>28</v>
      </c>
      <c r="P15" s="6" t="s">
        <v>134</v>
      </c>
      <c r="Q15" s="7" t="s">
        <v>30</v>
      </c>
      <c r="R15" s="8" t="s">
        <v>31</v>
      </c>
    </row>
    <row r="16" customFormat="false" ht="23.85" hidden="false" customHeight="false" outlineLevel="0" collapsed="false">
      <c r="A16" s="2" t="s">
        <v>135</v>
      </c>
      <c r="B16" s="2" t="s">
        <v>136</v>
      </c>
      <c r="C16" s="2" t="s">
        <v>20</v>
      </c>
      <c r="D16" s="2" t="s">
        <v>21</v>
      </c>
      <c r="E16" s="3" t="n">
        <v>46323</v>
      </c>
      <c r="F16" s="4"/>
      <c r="G16" s="4" t="n">
        <v>205903.75</v>
      </c>
      <c r="H16" s="2" t="s">
        <v>22</v>
      </c>
      <c r="I16" s="5" t="str">
        <f aca="false">IF(OR(F16="",G16=""),"",(F16-G16)/G16)</f>
        <v/>
      </c>
      <c r="J16" s="2" t="s">
        <v>37</v>
      </c>
      <c r="K16" s="2"/>
      <c r="L16" s="2"/>
      <c r="M16" s="2"/>
      <c r="N16" s="2"/>
      <c r="O16" s="2" t="s">
        <v>38</v>
      </c>
      <c r="P16" s="6" t="s">
        <v>137</v>
      </c>
      <c r="Q16" s="7" t="s">
        <v>30</v>
      </c>
      <c r="R16" s="8" t="s">
        <v>31</v>
      </c>
    </row>
    <row r="17" customFormat="false" ht="23.85" hidden="false" customHeight="false" outlineLevel="0" collapsed="false">
      <c r="A17" s="2" t="s">
        <v>44</v>
      </c>
      <c r="B17" s="2" t="s">
        <v>59</v>
      </c>
      <c r="C17" s="2" t="s">
        <v>138</v>
      </c>
      <c r="D17" s="2" t="s">
        <v>43</v>
      </c>
      <c r="E17" s="3" t="n">
        <v>46302</v>
      </c>
      <c r="F17" s="4" t="n">
        <v>3303600</v>
      </c>
      <c r="G17" s="4" t="n">
        <v>1197000</v>
      </c>
      <c r="H17" s="2" t="s">
        <v>139</v>
      </c>
      <c r="I17" s="5" t="n">
        <f aca="false">IF(OR(F17="",G17=""),"",(F17-G17)/G17)</f>
        <v>1.75989974937343</v>
      </c>
      <c r="J17" s="2" t="s">
        <v>37</v>
      </c>
      <c r="K17" s="2"/>
      <c r="L17" s="2"/>
      <c r="M17" s="2"/>
      <c r="N17" s="2"/>
      <c r="O17" s="2" t="s">
        <v>38</v>
      </c>
      <c r="P17" s="6" t="s">
        <v>140</v>
      </c>
      <c r="Q17" s="7" t="s">
        <v>30</v>
      </c>
      <c r="R17" s="8" t="s">
        <v>31</v>
      </c>
    </row>
    <row r="18" customFormat="false" ht="23.85" hidden="false" customHeight="false" outlineLevel="0" collapsed="false">
      <c r="A18" s="2" t="s">
        <v>141</v>
      </c>
      <c r="B18" s="2" t="s">
        <v>142</v>
      </c>
      <c r="C18" s="2" t="s">
        <v>143</v>
      </c>
      <c r="D18" s="2" t="s">
        <v>43</v>
      </c>
      <c r="E18" s="3" t="n">
        <v>46261</v>
      </c>
      <c r="F18" s="4" t="n">
        <v>4037850</v>
      </c>
      <c r="G18" s="4" t="n">
        <v>2299281</v>
      </c>
      <c r="H18" s="2" t="s">
        <v>144</v>
      </c>
      <c r="I18" s="5" t="n">
        <f aca="false">IF(OR(F18="",G18=""),"",(F18-G18)/G18)</f>
        <v>0.756135939887295</v>
      </c>
      <c r="J18" s="2" t="s">
        <v>37</v>
      </c>
      <c r="K18" s="2"/>
      <c r="L18" s="2" t="s">
        <v>145</v>
      </c>
      <c r="M18" s="2"/>
      <c r="N18" s="2"/>
      <c r="O18" s="2" t="s">
        <v>28</v>
      </c>
      <c r="P18" s="6" t="s">
        <v>146</v>
      </c>
      <c r="Q18" s="7" t="s">
        <v>30</v>
      </c>
      <c r="R18" s="8" t="s">
        <v>31</v>
      </c>
    </row>
    <row r="19" customFormat="false" ht="23.85" hidden="false" customHeight="false" outlineLevel="0" collapsed="false">
      <c r="A19" s="2" t="s">
        <v>147</v>
      </c>
      <c r="B19" s="2" t="s">
        <v>59</v>
      </c>
      <c r="C19" s="2" t="s">
        <v>148</v>
      </c>
      <c r="D19" s="2" t="s">
        <v>43</v>
      </c>
      <c r="E19" s="3" t="n">
        <v>46238</v>
      </c>
      <c r="F19" s="4" t="n">
        <v>5755605</v>
      </c>
      <c r="G19" s="4" t="n">
        <v>1694675</v>
      </c>
      <c r="H19" s="2" t="s">
        <v>44</v>
      </c>
      <c r="I19" s="5" t="n">
        <f aca="false">IF(OR(F19="",G19=""),"",(F19-G19)/G19)</f>
        <v>2.396288373877</v>
      </c>
      <c r="J19" s="2" t="s">
        <v>37</v>
      </c>
      <c r="K19" s="2"/>
      <c r="L19" s="2" t="s">
        <v>149</v>
      </c>
      <c r="M19" s="2" t="s">
        <v>150</v>
      </c>
      <c r="N19" s="2" t="s">
        <v>151</v>
      </c>
      <c r="O19" s="2" t="s">
        <v>28</v>
      </c>
      <c r="P19" s="6" t="s">
        <v>152</v>
      </c>
      <c r="Q19" s="7" t="s">
        <v>30</v>
      </c>
      <c r="R19" s="8" t="s">
        <v>31</v>
      </c>
    </row>
    <row r="20" customFormat="false" ht="15" hidden="false" customHeight="false" outlineLevel="0" collapsed="false">
      <c r="A20" s="2" t="s">
        <v>153</v>
      </c>
      <c r="B20" s="2" t="s">
        <v>154</v>
      </c>
      <c r="C20" s="2" t="s">
        <v>51</v>
      </c>
      <c r="D20" s="2" t="s">
        <v>52</v>
      </c>
      <c r="E20" s="3" t="n">
        <v>46317</v>
      </c>
      <c r="F20" s="4" t="n">
        <v>310001</v>
      </c>
      <c r="G20" s="4" t="n">
        <v>246100</v>
      </c>
      <c r="H20" s="2" t="s">
        <v>53</v>
      </c>
      <c r="I20" s="5" t="n">
        <f aca="false">IF(OR(F20="",G20=""),"",(F20-G20)/G20)</f>
        <v>0.259654611946363</v>
      </c>
      <c r="J20" s="2" t="s">
        <v>37</v>
      </c>
      <c r="K20" s="2"/>
      <c r="L20" s="2"/>
      <c r="M20" s="2" t="s">
        <v>155</v>
      </c>
      <c r="N20" s="2" t="s">
        <v>156</v>
      </c>
      <c r="O20" s="2" t="s">
        <v>28</v>
      </c>
      <c r="P20" s="6" t="s">
        <v>157</v>
      </c>
      <c r="Q20" s="7" t="s">
        <v>30</v>
      </c>
      <c r="R20" s="8" t="s">
        <v>31</v>
      </c>
    </row>
    <row r="21" customFormat="false" ht="15" hidden="false" customHeight="false" outlineLevel="0" collapsed="false">
      <c r="A21" s="2" t="s">
        <v>158</v>
      </c>
      <c r="B21" s="2" t="s">
        <v>159</v>
      </c>
      <c r="C21" s="2" t="s">
        <v>160</v>
      </c>
      <c r="D21" s="2" t="s">
        <v>161</v>
      </c>
      <c r="E21" s="3" t="n">
        <v>46310</v>
      </c>
      <c r="F21" s="4" t="n">
        <v>996836</v>
      </c>
      <c r="G21" s="4" t="n">
        <v>848447</v>
      </c>
      <c r="H21" s="2" t="s">
        <v>162</v>
      </c>
      <c r="I21" s="5" t="n">
        <f aca="false">IF(OR(F21="",G21=""),"",(F21-G21)/G21)</f>
        <v>0.174894837273277</v>
      </c>
      <c r="J21" s="2" t="s">
        <v>163</v>
      </c>
      <c r="K21" s="2" t="s">
        <v>164</v>
      </c>
      <c r="L21" s="2" t="s">
        <v>165</v>
      </c>
      <c r="M21" s="2"/>
      <c r="N21" s="2" t="s">
        <v>166</v>
      </c>
      <c r="O21" s="2" t="s">
        <v>71</v>
      </c>
      <c r="P21" s="6" t="s">
        <v>167</v>
      </c>
      <c r="Q21" s="7" t="s">
        <v>30</v>
      </c>
      <c r="R21" s="8" t="s">
        <v>31</v>
      </c>
    </row>
    <row r="22" customFormat="false" ht="15" hidden="false" customHeight="false" outlineLevel="0" collapsed="false">
      <c r="A22" s="2" t="s">
        <v>168</v>
      </c>
      <c r="B22" s="2" t="s">
        <v>169</v>
      </c>
      <c r="C22" s="2" t="s">
        <v>67</v>
      </c>
      <c r="D22" s="2" t="s">
        <v>68</v>
      </c>
      <c r="E22" s="3" t="n">
        <v>46308</v>
      </c>
      <c r="F22" s="4" t="n">
        <v>17600</v>
      </c>
      <c r="G22" s="4" t="n">
        <v>14997</v>
      </c>
      <c r="H22" s="2" t="s">
        <v>69</v>
      </c>
      <c r="I22" s="5" t="n">
        <f aca="false">IF(OR(F22="",G22=""),"",(F22-G22)/G22)</f>
        <v>0.173568046942722</v>
      </c>
      <c r="J22" s="2" t="s">
        <v>37</v>
      </c>
      <c r="K22" s="2"/>
      <c r="L22" s="2" t="s">
        <v>70</v>
      </c>
      <c r="M22" s="2" t="s">
        <v>170</v>
      </c>
      <c r="N22" s="2"/>
      <c r="O22" s="2" t="s">
        <v>28</v>
      </c>
      <c r="P22" s="6" t="s">
        <v>171</v>
      </c>
      <c r="Q22" s="7" t="s">
        <v>30</v>
      </c>
      <c r="R22" s="8" t="s">
        <v>31</v>
      </c>
    </row>
    <row r="23" customFormat="false" ht="15" hidden="false" customHeight="false" outlineLevel="0" collapsed="false">
      <c r="A23" s="2" t="s">
        <v>172</v>
      </c>
      <c r="B23" s="2" t="s">
        <v>173</v>
      </c>
      <c r="C23" s="2" t="s">
        <v>148</v>
      </c>
      <c r="D23" s="2" t="s">
        <v>43</v>
      </c>
      <c r="E23" s="3" t="n">
        <v>46238</v>
      </c>
      <c r="F23" s="4" t="n">
        <v>2074704.5</v>
      </c>
      <c r="G23" s="4" t="n">
        <v>1694675</v>
      </c>
      <c r="H23" s="2" t="s">
        <v>44</v>
      </c>
      <c r="I23" s="5" t="n">
        <f aca="false">IF(OR(F23="",G23=""),"",(F23-G23)/G23)</f>
        <v>0.224249192323012</v>
      </c>
      <c r="J23" s="2" t="s">
        <v>37</v>
      </c>
      <c r="K23" s="2"/>
      <c r="L23" s="2"/>
      <c r="M23" s="2"/>
      <c r="N23" s="2"/>
      <c r="O23" s="2" t="s">
        <v>38</v>
      </c>
      <c r="P23" s="6" t="s">
        <v>174</v>
      </c>
      <c r="Q23" s="7" t="s">
        <v>30</v>
      </c>
      <c r="R23" s="8" t="s">
        <v>31</v>
      </c>
    </row>
    <row r="24" customFormat="false" ht="15" hidden="false" customHeight="false" outlineLevel="0" collapsed="false">
      <c r="A24" s="2" t="s">
        <v>175</v>
      </c>
      <c r="B24" s="2" t="s">
        <v>176</v>
      </c>
      <c r="C24" s="2" t="s">
        <v>177</v>
      </c>
      <c r="D24" s="2" t="s">
        <v>43</v>
      </c>
      <c r="E24" s="3" t="n">
        <v>46224</v>
      </c>
      <c r="F24" s="4" t="n">
        <v>3203100</v>
      </c>
      <c r="G24" s="4" t="n">
        <v>890013.65</v>
      </c>
      <c r="H24" s="2" t="s">
        <v>178</v>
      </c>
      <c r="I24" s="5" t="n">
        <f aca="false">IF(OR(F24="",G24=""),"",(F24-G24)/G24)</f>
        <v>2.59893356691777</v>
      </c>
      <c r="J24" s="2" t="s">
        <v>37</v>
      </c>
      <c r="K24" s="2"/>
      <c r="L24" s="2" t="s">
        <v>179</v>
      </c>
      <c r="M24" s="2"/>
      <c r="N24" s="2"/>
      <c r="O24" s="2" t="s">
        <v>71</v>
      </c>
      <c r="P24" s="6" t="s">
        <v>180</v>
      </c>
      <c r="Q24" s="7" t="s">
        <v>30</v>
      </c>
      <c r="R24" s="8" t="s">
        <v>31</v>
      </c>
    </row>
    <row r="25" customFormat="false" ht="15" hidden="false" customHeight="false" outlineLevel="0" collapsed="false">
      <c r="A25" s="2" t="s">
        <v>181</v>
      </c>
      <c r="B25" s="2" t="s">
        <v>182</v>
      </c>
      <c r="C25" s="2" t="s">
        <v>20</v>
      </c>
      <c r="D25" s="2" t="s">
        <v>21</v>
      </c>
      <c r="E25" s="3" t="n">
        <v>46323</v>
      </c>
      <c r="F25" s="4" t="n">
        <v>366999.5</v>
      </c>
      <c r="G25" s="4" t="n">
        <v>205903.75</v>
      </c>
      <c r="H25" s="2" t="s">
        <v>22</v>
      </c>
      <c r="I25" s="5" t="n">
        <f aca="false">IF(OR(F25="",G25=""),"",(F25-G25)/G25)</f>
        <v>0.782383759402148</v>
      </c>
      <c r="J25" s="2" t="s">
        <v>37</v>
      </c>
      <c r="K25" s="2"/>
      <c r="L25" s="2"/>
      <c r="M25" s="2"/>
      <c r="N25" s="2"/>
      <c r="O25" s="2" t="s">
        <v>38</v>
      </c>
      <c r="P25" s="6" t="s">
        <v>183</v>
      </c>
      <c r="Q25" s="7" t="s">
        <v>30</v>
      </c>
      <c r="R25" s="8" t="s">
        <v>31</v>
      </c>
    </row>
    <row r="26" customFormat="false" ht="15" hidden="false" customHeight="false" outlineLevel="0" collapsed="false">
      <c r="A26" s="2" t="s">
        <v>184</v>
      </c>
      <c r="B26" s="2" t="s">
        <v>33</v>
      </c>
      <c r="C26" s="2" t="s">
        <v>34</v>
      </c>
      <c r="D26" s="2" t="s">
        <v>35</v>
      </c>
      <c r="E26" s="3" t="n">
        <v>46322</v>
      </c>
      <c r="F26" s="4" t="n">
        <v>236250</v>
      </c>
      <c r="G26" s="4" t="n">
        <v>192500</v>
      </c>
      <c r="H26" s="2" t="s">
        <v>36</v>
      </c>
      <c r="I26" s="5" t="n">
        <f aca="false">IF(OR(F26="",G26=""),"",(F26-G26)/G26)</f>
        <v>0.227272727272727</v>
      </c>
      <c r="J26" s="2" t="s">
        <v>37</v>
      </c>
      <c r="K26" s="2"/>
      <c r="L26" s="2"/>
      <c r="M26" s="2"/>
      <c r="N26" s="2"/>
      <c r="O26" s="2" t="s">
        <v>38</v>
      </c>
      <c r="P26" s="6" t="s">
        <v>183</v>
      </c>
      <c r="Q26" s="7" t="s">
        <v>30</v>
      </c>
      <c r="R26" s="8" t="s">
        <v>31</v>
      </c>
    </row>
    <row r="27" customFormat="false" ht="15" hidden="false" customHeight="false" outlineLevel="0" collapsed="false">
      <c r="A27" s="2" t="s">
        <v>185</v>
      </c>
      <c r="B27" s="2" t="s">
        <v>33</v>
      </c>
      <c r="C27" s="2" t="s">
        <v>34</v>
      </c>
      <c r="D27" s="2" t="s">
        <v>35</v>
      </c>
      <c r="E27" s="3" t="n">
        <v>46322</v>
      </c>
      <c r="F27" s="4" t="n">
        <v>256750</v>
      </c>
      <c r="G27" s="4" t="n">
        <v>192500</v>
      </c>
      <c r="H27" s="2" t="s">
        <v>36</v>
      </c>
      <c r="I27" s="5" t="n">
        <f aca="false">IF(OR(F27="",G27=""),"",(F27-G27)/G27)</f>
        <v>0.333766233766234</v>
      </c>
      <c r="J27" s="2" t="s">
        <v>37</v>
      </c>
      <c r="K27" s="2"/>
      <c r="L27" s="2"/>
      <c r="M27" s="2"/>
      <c r="N27" s="2"/>
      <c r="O27" s="2" t="s">
        <v>38</v>
      </c>
      <c r="P27" s="6" t="s">
        <v>183</v>
      </c>
      <c r="Q27" s="7" t="s">
        <v>30</v>
      </c>
      <c r="R27" s="8" t="s">
        <v>31</v>
      </c>
    </row>
    <row r="28" customFormat="false" ht="15" hidden="false" customHeight="false" outlineLevel="0" collapsed="false">
      <c r="A28" s="2" t="s">
        <v>186</v>
      </c>
      <c r="B28" s="2" t="s">
        <v>187</v>
      </c>
      <c r="C28" s="2" t="s">
        <v>188</v>
      </c>
      <c r="D28" s="2" t="s">
        <v>189</v>
      </c>
      <c r="E28" s="3" t="n">
        <v>46321</v>
      </c>
      <c r="F28" s="4" t="n">
        <v>111300</v>
      </c>
      <c r="G28" s="4" t="n">
        <v>92500</v>
      </c>
      <c r="H28" s="2" t="s">
        <v>190</v>
      </c>
      <c r="I28" s="5" t="n">
        <f aca="false">IF(OR(F28="",G28=""),"",(F28-G28)/G28)</f>
        <v>0.203243243243243</v>
      </c>
      <c r="J28" s="2" t="s">
        <v>37</v>
      </c>
      <c r="K28" s="2"/>
      <c r="L28" s="2"/>
      <c r="M28" s="2"/>
      <c r="N28" s="2"/>
      <c r="O28" s="2" t="s">
        <v>38</v>
      </c>
      <c r="P28" s="6" t="s">
        <v>183</v>
      </c>
      <c r="Q28" s="7" t="s">
        <v>30</v>
      </c>
      <c r="R28" s="8" t="s">
        <v>31</v>
      </c>
    </row>
    <row r="29" customFormat="false" ht="15" hidden="false" customHeight="false" outlineLevel="0" collapsed="false">
      <c r="A29" s="2" t="s">
        <v>191</v>
      </c>
      <c r="B29" s="2" t="s">
        <v>192</v>
      </c>
      <c r="C29" s="2" t="s">
        <v>188</v>
      </c>
      <c r="D29" s="2" t="s">
        <v>189</v>
      </c>
      <c r="E29" s="3" t="n">
        <v>46321</v>
      </c>
      <c r="F29" s="4" t="n">
        <v>270170</v>
      </c>
      <c r="G29" s="4" t="n">
        <v>92500</v>
      </c>
      <c r="H29" s="2" t="s">
        <v>190</v>
      </c>
      <c r="I29" s="5" t="n">
        <f aca="false">IF(OR(F29="",G29=""),"",(F29-G29)/G29)</f>
        <v>1.92075675675676</v>
      </c>
      <c r="J29" s="2" t="s">
        <v>37</v>
      </c>
      <c r="K29" s="2"/>
      <c r="L29" s="2"/>
      <c r="M29" s="2"/>
      <c r="N29" s="2"/>
      <c r="O29" s="2" t="s">
        <v>38</v>
      </c>
      <c r="P29" s="6" t="s">
        <v>183</v>
      </c>
      <c r="Q29" s="7" t="s">
        <v>30</v>
      </c>
      <c r="R29" s="8" t="s">
        <v>31</v>
      </c>
    </row>
    <row r="30" customFormat="false" ht="15" hidden="false" customHeight="false" outlineLevel="0" collapsed="false">
      <c r="A30" s="2" t="s">
        <v>193</v>
      </c>
      <c r="B30" s="2" t="s">
        <v>194</v>
      </c>
      <c r="C30" s="2" t="s">
        <v>51</v>
      </c>
      <c r="D30" s="2" t="s">
        <v>52</v>
      </c>
      <c r="E30" s="3" t="n">
        <v>46317</v>
      </c>
      <c r="F30" s="4" t="n">
        <v>288825.9</v>
      </c>
      <c r="G30" s="4" t="n">
        <v>246100</v>
      </c>
      <c r="H30" s="2" t="s">
        <v>53</v>
      </c>
      <c r="I30" s="5" t="n">
        <f aca="false">IF(OR(F30="",G30=""),"",(F30-G30)/G30)</f>
        <v>0.173611946363267</v>
      </c>
      <c r="J30" s="2" t="s">
        <v>37</v>
      </c>
      <c r="K30" s="2"/>
      <c r="L30" s="2"/>
      <c r="M30" s="2"/>
      <c r="N30" s="2"/>
      <c r="O30" s="2" t="s">
        <v>38</v>
      </c>
      <c r="P30" s="6" t="s">
        <v>183</v>
      </c>
      <c r="Q30" s="7" t="s">
        <v>30</v>
      </c>
      <c r="R30" s="8" t="s">
        <v>31</v>
      </c>
    </row>
    <row r="31" customFormat="false" ht="15" hidden="false" customHeight="false" outlineLevel="0" collapsed="false">
      <c r="A31" s="2" t="s">
        <v>195</v>
      </c>
      <c r="B31" s="2" t="s">
        <v>196</v>
      </c>
      <c r="C31" s="2" t="s">
        <v>197</v>
      </c>
      <c r="D31" s="2" t="s">
        <v>198</v>
      </c>
      <c r="E31" s="3" t="n">
        <v>46311</v>
      </c>
      <c r="F31" s="4" t="n">
        <v>16793</v>
      </c>
      <c r="G31" s="4" t="n">
        <v>10800</v>
      </c>
      <c r="H31" s="2" t="s">
        <v>199</v>
      </c>
      <c r="I31" s="5" t="n">
        <f aca="false">IF(OR(F31="",G31=""),"",(F31-G31)/G31)</f>
        <v>0.554907407407407</v>
      </c>
      <c r="J31" s="2" t="s">
        <v>37</v>
      </c>
      <c r="K31" s="2"/>
      <c r="L31" s="2"/>
      <c r="M31" s="2"/>
      <c r="N31" s="2"/>
      <c r="O31" s="2" t="s">
        <v>38</v>
      </c>
      <c r="P31" s="6" t="s">
        <v>200</v>
      </c>
      <c r="Q31" s="7" t="s">
        <v>30</v>
      </c>
      <c r="R31" s="8" t="s">
        <v>31</v>
      </c>
    </row>
    <row r="32" customFormat="false" ht="15" hidden="false" customHeight="false" outlineLevel="0" collapsed="false">
      <c r="A32" s="2" t="s">
        <v>201</v>
      </c>
      <c r="B32" s="2" t="s">
        <v>196</v>
      </c>
      <c r="C32" s="2" t="s">
        <v>197</v>
      </c>
      <c r="D32" s="2" t="s">
        <v>198</v>
      </c>
      <c r="E32" s="3" t="n">
        <v>46311</v>
      </c>
      <c r="F32" s="4" t="n">
        <v>19500</v>
      </c>
      <c r="G32" s="4" t="n">
        <v>10800</v>
      </c>
      <c r="H32" s="2" t="s">
        <v>199</v>
      </c>
      <c r="I32" s="5" t="n">
        <f aca="false">IF(OR(F32="",G32=""),"",(F32-G32)/G32)</f>
        <v>0.805555555555556</v>
      </c>
      <c r="J32" s="2" t="s">
        <v>37</v>
      </c>
      <c r="K32" s="2"/>
      <c r="L32" s="2"/>
      <c r="M32" s="2"/>
      <c r="N32" s="2"/>
      <c r="O32" s="2" t="s">
        <v>38</v>
      </c>
      <c r="P32" s="6" t="s">
        <v>183</v>
      </c>
      <c r="Q32" s="7" t="s">
        <v>30</v>
      </c>
      <c r="R32" s="8" t="s">
        <v>31</v>
      </c>
    </row>
    <row r="33" customFormat="false" ht="15" hidden="false" customHeight="false" outlineLevel="0" collapsed="false">
      <c r="A33" s="2" t="s">
        <v>202</v>
      </c>
      <c r="B33" s="2" t="s">
        <v>196</v>
      </c>
      <c r="C33" s="2" t="s">
        <v>197</v>
      </c>
      <c r="D33" s="2" t="s">
        <v>198</v>
      </c>
      <c r="E33" s="3" t="n">
        <v>46311</v>
      </c>
      <c r="F33" s="4"/>
      <c r="G33" s="4" t="n">
        <v>10800</v>
      </c>
      <c r="H33" s="2" t="s">
        <v>199</v>
      </c>
      <c r="I33" s="5" t="str">
        <f aca="false">IF(OR(F33="",G33=""),"",(F33-G33)/G33)</f>
        <v/>
      </c>
      <c r="J33" s="2" t="s">
        <v>37</v>
      </c>
      <c r="K33" s="2"/>
      <c r="L33" s="2"/>
      <c r="M33" s="2"/>
      <c r="N33" s="2"/>
      <c r="O33" s="2" t="s">
        <v>38</v>
      </c>
      <c r="P33" s="6" t="s">
        <v>203</v>
      </c>
      <c r="Q33" s="7" t="s">
        <v>30</v>
      </c>
      <c r="R33" s="8" t="s">
        <v>31</v>
      </c>
    </row>
    <row r="34" customFormat="false" ht="15" hidden="false" customHeight="false" outlineLevel="0" collapsed="false">
      <c r="A34" s="2" t="s">
        <v>204</v>
      </c>
      <c r="B34" s="2" t="s">
        <v>205</v>
      </c>
      <c r="C34" s="2" t="s">
        <v>160</v>
      </c>
      <c r="D34" s="2" t="s">
        <v>161</v>
      </c>
      <c r="E34" s="3" t="n">
        <v>46310</v>
      </c>
      <c r="F34" s="4" t="n">
        <v>998500</v>
      </c>
      <c r="G34" s="4" t="n">
        <v>848447</v>
      </c>
      <c r="H34" s="2" t="s">
        <v>162</v>
      </c>
      <c r="I34" s="5" t="n">
        <f aca="false">IF(OR(F34="",G34=""),"",(F34-G34)/G34)</f>
        <v>0.176856067615302</v>
      </c>
      <c r="J34" s="2" t="s">
        <v>37</v>
      </c>
      <c r="K34" s="2"/>
      <c r="L34" s="2"/>
      <c r="M34" s="2"/>
      <c r="N34" s="2"/>
      <c r="O34" s="2" t="s">
        <v>38</v>
      </c>
      <c r="P34" s="6" t="s">
        <v>183</v>
      </c>
      <c r="Q34" s="7" t="s">
        <v>30</v>
      </c>
      <c r="R34" s="8" t="s">
        <v>31</v>
      </c>
    </row>
    <row r="35" customFormat="false" ht="15" hidden="false" customHeight="false" outlineLevel="0" collapsed="false">
      <c r="A35" s="2" t="s">
        <v>206</v>
      </c>
      <c r="B35" s="2" t="s">
        <v>205</v>
      </c>
      <c r="C35" s="2" t="s">
        <v>160</v>
      </c>
      <c r="D35" s="2" t="s">
        <v>161</v>
      </c>
      <c r="E35" s="3" t="n">
        <v>46310</v>
      </c>
      <c r="F35" s="4" t="n">
        <v>998646</v>
      </c>
      <c r="G35" s="4" t="n">
        <v>848447</v>
      </c>
      <c r="H35" s="2" t="s">
        <v>162</v>
      </c>
      <c r="I35" s="5" t="n">
        <f aca="false">IF(OR(F35="",G35=""),"",(F35-G35)/G35)</f>
        <v>0.17702814671983</v>
      </c>
      <c r="J35" s="2" t="s">
        <v>37</v>
      </c>
      <c r="K35" s="2"/>
      <c r="L35" s="2"/>
      <c r="M35" s="2"/>
      <c r="N35" s="2"/>
      <c r="O35" s="2" t="s">
        <v>38</v>
      </c>
      <c r="P35" s="6" t="s">
        <v>183</v>
      </c>
      <c r="Q35" s="7" t="s">
        <v>30</v>
      </c>
      <c r="R35" s="8" t="s">
        <v>31</v>
      </c>
    </row>
    <row r="36" customFormat="false" ht="15" hidden="false" customHeight="false" outlineLevel="0" collapsed="false">
      <c r="A36" s="2" t="s">
        <v>207</v>
      </c>
      <c r="B36" s="2" t="s">
        <v>192</v>
      </c>
      <c r="C36" s="2" t="s">
        <v>208</v>
      </c>
      <c r="D36" s="2" t="s">
        <v>209</v>
      </c>
      <c r="E36" s="3" t="n">
        <v>46309</v>
      </c>
      <c r="F36" s="4" t="n">
        <v>45500</v>
      </c>
      <c r="G36" s="4" t="n">
        <v>40700</v>
      </c>
      <c r="H36" s="2" t="s">
        <v>210</v>
      </c>
      <c r="I36" s="5" t="n">
        <f aca="false">IF(OR(F36="",G36=""),"",(F36-G36)/G36)</f>
        <v>0.117936117936118</v>
      </c>
      <c r="J36" s="2" t="s">
        <v>37</v>
      </c>
      <c r="K36" s="2"/>
      <c r="L36" s="2"/>
      <c r="M36" s="2"/>
      <c r="N36" s="2"/>
      <c r="O36" s="2" t="s">
        <v>38</v>
      </c>
      <c r="P36" s="6" t="s">
        <v>183</v>
      </c>
      <c r="Q36" s="7" t="s">
        <v>30</v>
      </c>
      <c r="R36" s="8" t="s">
        <v>31</v>
      </c>
    </row>
    <row r="37" customFormat="false" ht="15" hidden="false" customHeight="false" outlineLevel="0" collapsed="false">
      <c r="A37" s="2" t="s">
        <v>211</v>
      </c>
      <c r="B37" s="2" t="s">
        <v>192</v>
      </c>
      <c r="C37" s="2" t="s">
        <v>208</v>
      </c>
      <c r="D37" s="2" t="s">
        <v>209</v>
      </c>
      <c r="E37" s="3" t="n">
        <v>46309</v>
      </c>
      <c r="F37" s="4" t="n">
        <v>52300</v>
      </c>
      <c r="G37" s="4" t="n">
        <v>40700</v>
      </c>
      <c r="H37" s="2" t="s">
        <v>210</v>
      </c>
      <c r="I37" s="5" t="n">
        <f aca="false">IF(OR(F37="",G37=""),"",(F37-G37)/G37)</f>
        <v>0.285012285012285</v>
      </c>
      <c r="J37" s="2" t="s">
        <v>37</v>
      </c>
      <c r="K37" s="2"/>
      <c r="L37" s="2"/>
      <c r="M37" s="2"/>
      <c r="N37" s="2"/>
      <c r="O37" s="2" t="s">
        <v>38</v>
      </c>
      <c r="P37" s="6" t="s">
        <v>183</v>
      </c>
      <c r="Q37" s="7" t="s">
        <v>30</v>
      </c>
      <c r="R37" s="8" t="s">
        <v>31</v>
      </c>
    </row>
    <row r="38" customFormat="false" ht="15" hidden="false" customHeight="false" outlineLevel="0" collapsed="false">
      <c r="A38" s="2" t="s">
        <v>212</v>
      </c>
      <c r="B38" s="2" t="s">
        <v>192</v>
      </c>
      <c r="C38" s="2" t="s">
        <v>208</v>
      </c>
      <c r="D38" s="2" t="s">
        <v>209</v>
      </c>
      <c r="E38" s="3" t="n">
        <v>46309</v>
      </c>
      <c r="F38" s="4" t="n">
        <v>56500</v>
      </c>
      <c r="G38" s="4" t="n">
        <v>40700</v>
      </c>
      <c r="H38" s="2" t="s">
        <v>210</v>
      </c>
      <c r="I38" s="5" t="n">
        <f aca="false">IF(OR(F38="",G38=""),"",(F38-G38)/G38)</f>
        <v>0.388206388206388</v>
      </c>
      <c r="J38" s="2" t="s">
        <v>37</v>
      </c>
      <c r="K38" s="2"/>
      <c r="L38" s="2"/>
      <c r="M38" s="2"/>
      <c r="N38" s="2"/>
      <c r="O38" s="2" t="s">
        <v>38</v>
      </c>
      <c r="P38" s="6" t="s">
        <v>183</v>
      </c>
      <c r="Q38" s="7" t="s">
        <v>30</v>
      </c>
      <c r="R38" s="8" t="s">
        <v>31</v>
      </c>
    </row>
    <row r="39" customFormat="false" ht="15" hidden="false" customHeight="false" outlineLevel="0" collapsed="false">
      <c r="A39" s="2" t="s">
        <v>213</v>
      </c>
      <c r="B39" s="2" t="s">
        <v>214</v>
      </c>
      <c r="C39" s="2" t="s">
        <v>215</v>
      </c>
      <c r="D39" s="2" t="s">
        <v>216</v>
      </c>
      <c r="E39" s="3" t="n">
        <v>46302</v>
      </c>
      <c r="F39" s="4" t="n">
        <v>99250</v>
      </c>
      <c r="G39" s="4" t="n">
        <v>49000</v>
      </c>
      <c r="H39" s="2" t="s">
        <v>217</v>
      </c>
      <c r="I39" s="5" t="n">
        <f aca="false">IF(OR(F39="",G39=""),"",(F39-G39)/G39)</f>
        <v>1.02551020408163</v>
      </c>
      <c r="J39" s="2" t="s">
        <v>37</v>
      </c>
      <c r="K39" s="2"/>
      <c r="L39" s="2"/>
      <c r="M39" s="2"/>
      <c r="N39" s="2"/>
      <c r="O39" s="2" t="s">
        <v>38</v>
      </c>
      <c r="P39" s="6" t="s">
        <v>218</v>
      </c>
      <c r="Q39" s="7" t="s">
        <v>30</v>
      </c>
      <c r="R39" s="8" t="s">
        <v>31</v>
      </c>
    </row>
    <row r="40" customFormat="false" ht="15" hidden="false" customHeight="false" outlineLevel="0" collapsed="false">
      <c r="A40" s="2" t="s">
        <v>219</v>
      </c>
      <c r="B40" s="2" t="s">
        <v>59</v>
      </c>
      <c r="C40" s="2" t="s">
        <v>220</v>
      </c>
      <c r="D40" s="2" t="s">
        <v>43</v>
      </c>
      <c r="E40" s="3" t="n">
        <v>46301</v>
      </c>
      <c r="F40" s="4" t="n">
        <v>302034</v>
      </c>
      <c r="G40" s="4" t="n">
        <v>189200</v>
      </c>
      <c r="H40" s="2" t="s">
        <v>178</v>
      </c>
      <c r="I40" s="5" t="n">
        <f aca="false">IF(OR(F40="",G40=""),"",(F40-G40)/G40)</f>
        <v>0.596374207188161</v>
      </c>
      <c r="J40" s="2" t="s">
        <v>37</v>
      </c>
      <c r="K40" s="2"/>
      <c r="L40" s="2"/>
      <c r="M40" s="2"/>
      <c r="N40" s="2"/>
      <c r="O40" s="2" t="s">
        <v>38</v>
      </c>
      <c r="P40" s="6" t="s">
        <v>221</v>
      </c>
      <c r="Q40" s="7" t="s">
        <v>30</v>
      </c>
      <c r="R40" s="8" t="s">
        <v>31</v>
      </c>
    </row>
    <row r="41" customFormat="false" ht="15" hidden="false" customHeight="false" outlineLevel="0" collapsed="false">
      <c r="A41" s="2" t="s">
        <v>222</v>
      </c>
      <c r="B41" s="2" t="s">
        <v>59</v>
      </c>
      <c r="C41" s="2" t="s">
        <v>127</v>
      </c>
      <c r="D41" s="2" t="s">
        <v>43</v>
      </c>
      <c r="E41" s="3" t="n">
        <v>46282</v>
      </c>
      <c r="F41" s="4" t="n">
        <v>549956</v>
      </c>
      <c r="G41" s="4" t="n">
        <v>301800</v>
      </c>
      <c r="H41" s="2" t="s">
        <v>128</v>
      </c>
      <c r="I41" s="5" t="n">
        <f aca="false">IF(OR(F41="",G41=""),"",(F41-G41)/G41)</f>
        <v>0.822253147779987</v>
      </c>
      <c r="J41" s="2" t="s">
        <v>37</v>
      </c>
      <c r="K41" s="2"/>
      <c r="L41" s="2" t="s">
        <v>223</v>
      </c>
      <c r="M41" s="2"/>
      <c r="N41" s="2" t="s">
        <v>224</v>
      </c>
      <c r="O41" s="2" t="s">
        <v>71</v>
      </c>
      <c r="P41" s="6" t="s">
        <v>225</v>
      </c>
      <c r="Q41" s="7" t="s">
        <v>30</v>
      </c>
      <c r="R41" s="8" t="s">
        <v>31</v>
      </c>
    </row>
    <row r="42" customFormat="false" ht="15" hidden="false" customHeight="false" outlineLevel="0" collapsed="false">
      <c r="A42" s="2" t="s">
        <v>226</v>
      </c>
      <c r="B42" s="2" t="s">
        <v>227</v>
      </c>
      <c r="C42" s="2" t="s">
        <v>127</v>
      </c>
      <c r="D42" s="2" t="s">
        <v>43</v>
      </c>
      <c r="E42" s="3" t="n">
        <v>46282</v>
      </c>
      <c r="F42" s="4" t="n">
        <v>852319</v>
      </c>
      <c r="G42" s="4" t="n">
        <v>301800</v>
      </c>
      <c r="H42" s="2" t="s">
        <v>128</v>
      </c>
      <c r="I42" s="5" t="n">
        <f aca="false">IF(OR(F42="",G42=""),"",(F42-G42)/G42)</f>
        <v>1.82411862160371</v>
      </c>
      <c r="J42" s="2" t="s">
        <v>37</v>
      </c>
      <c r="K42" s="2"/>
      <c r="L42" s="2" t="s">
        <v>228</v>
      </c>
      <c r="M42" s="2"/>
      <c r="N42" s="2"/>
      <c r="O42" s="2" t="s">
        <v>71</v>
      </c>
      <c r="P42" s="6" t="s">
        <v>229</v>
      </c>
      <c r="Q42" s="7" t="s">
        <v>30</v>
      </c>
      <c r="R42" s="8" t="s">
        <v>31</v>
      </c>
    </row>
    <row r="43" customFormat="false" ht="15" hidden="false" customHeight="false" outlineLevel="0" collapsed="false">
      <c r="A43" s="2" t="s">
        <v>230</v>
      </c>
      <c r="B43" s="2" t="s">
        <v>126</v>
      </c>
      <c r="C43" s="2" t="s">
        <v>127</v>
      </c>
      <c r="D43" s="2" t="s">
        <v>43</v>
      </c>
      <c r="E43" s="3" t="n">
        <v>46282</v>
      </c>
      <c r="F43" s="4" t="n">
        <v>5237738</v>
      </c>
      <c r="G43" s="4" t="n">
        <v>301800</v>
      </c>
      <c r="H43" s="2" t="s">
        <v>128</v>
      </c>
      <c r="I43" s="5" t="n">
        <f aca="false">IF(OR(F43="",G43=""),"",(F43-G43)/G43)</f>
        <v>16.3549966865474</v>
      </c>
      <c r="J43" s="2" t="s">
        <v>37</v>
      </c>
      <c r="K43" s="2"/>
      <c r="L43" s="2" t="s">
        <v>231</v>
      </c>
      <c r="M43" s="2"/>
      <c r="N43" s="2"/>
      <c r="O43" s="2" t="s">
        <v>71</v>
      </c>
      <c r="P43" s="6" t="s">
        <v>232</v>
      </c>
      <c r="Q43" s="7" t="s">
        <v>30</v>
      </c>
      <c r="R43" s="8" t="s">
        <v>31</v>
      </c>
    </row>
    <row r="44" customFormat="false" ht="15" hidden="false" customHeight="false" outlineLevel="0" collapsed="false">
      <c r="A44" s="2" t="s">
        <v>233</v>
      </c>
      <c r="B44" s="2" t="s">
        <v>234</v>
      </c>
      <c r="C44" s="2" t="s">
        <v>235</v>
      </c>
      <c r="D44" s="2" t="s">
        <v>236</v>
      </c>
      <c r="E44" s="3" t="n">
        <v>46281</v>
      </c>
      <c r="F44" s="4" t="n">
        <v>155108.5</v>
      </c>
      <c r="G44" s="4" t="n">
        <v>78552</v>
      </c>
      <c r="H44" s="2" t="s">
        <v>237</v>
      </c>
      <c r="I44" s="5" t="n">
        <f aca="false">IF(OR(F44="",G44=""),"",(F44-G44)/G44)</f>
        <v>0.974596445666565</v>
      </c>
      <c r="J44" s="2" t="s">
        <v>37</v>
      </c>
      <c r="K44" s="2"/>
      <c r="L44" s="2" t="s">
        <v>238</v>
      </c>
      <c r="M44" s="2"/>
      <c r="N44" s="2"/>
      <c r="O44" s="2" t="s">
        <v>71</v>
      </c>
      <c r="P44" s="6" t="s">
        <v>239</v>
      </c>
      <c r="Q44" s="7" t="s">
        <v>30</v>
      </c>
      <c r="R44" s="8" t="s">
        <v>31</v>
      </c>
    </row>
    <row r="45" customFormat="false" ht="15" hidden="false" customHeight="false" outlineLevel="0" collapsed="false">
      <c r="A45" s="2" t="s">
        <v>240</v>
      </c>
      <c r="B45" s="2" t="s">
        <v>241</v>
      </c>
      <c r="C45" s="2" t="s">
        <v>242</v>
      </c>
      <c r="D45" s="2" t="s">
        <v>243</v>
      </c>
      <c r="E45" s="3" t="n">
        <v>46274</v>
      </c>
      <c r="F45" s="4" t="n">
        <v>34498</v>
      </c>
      <c r="G45" s="4" t="n">
        <v>17600</v>
      </c>
      <c r="H45" s="2" t="s">
        <v>244</v>
      </c>
      <c r="I45" s="5" t="n">
        <f aca="false">IF(OR(F45="",G45=""),"",(F45-G45)/G45)</f>
        <v>0.960113636363636</v>
      </c>
      <c r="J45" s="2" t="s">
        <v>245</v>
      </c>
      <c r="K45" s="2"/>
      <c r="L45" s="2" t="s">
        <v>246</v>
      </c>
      <c r="M45" s="2" t="s">
        <v>247</v>
      </c>
      <c r="N45" s="2" t="s">
        <v>248</v>
      </c>
      <c r="O45" s="2" t="s">
        <v>28</v>
      </c>
      <c r="P45" s="6" t="s">
        <v>249</v>
      </c>
      <c r="Q45" s="7" t="s">
        <v>30</v>
      </c>
      <c r="R45" s="8" t="s">
        <v>31</v>
      </c>
    </row>
    <row r="46" customFormat="false" ht="15" hidden="false" customHeight="false" outlineLevel="0" collapsed="false">
      <c r="A46" s="2" t="s">
        <v>250</v>
      </c>
      <c r="B46" s="2" t="s">
        <v>241</v>
      </c>
      <c r="C46" s="2" t="s">
        <v>242</v>
      </c>
      <c r="D46" s="2" t="s">
        <v>243</v>
      </c>
      <c r="E46" s="3" t="n">
        <v>46274</v>
      </c>
      <c r="F46" s="4" t="n">
        <v>51000</v>
      </c>
      <c r="G46" s="4" t="n">
        <v>17600</v>
      </c>
      <c r="H46" s="2" t="s">
        <v>244</v>
      </c>
      <c r="I46" s="5" t="n">
        <f aca="false">IF(OR(F46="",G46=""),"",(F46-G46)/G46)</f>
        <v>1.89772727272727</v>
      </c>
      <c r="J46" s="2" t="s">
        <v>37</v>
      </c>
      <c r="K46" s="2"/>
      <c r="L46" s="2" t="s">
        <v>251</v>
      </c>
      <c r="M46" s="2" t="s">
        <v>252</v>
      </c>
      <c r="N46" s="2" t="s">
        <v>253</v>
      </c>
      <c r="O46" s="2" t="s">
        <v>28</v>
      </c>
      <c r="P46" s="6" t="s">
        <v>254</v>
      </c>
      <c r="Q46" s="7" t="s">
        <v>30</v>
      </c>
      <c r="R46" s="8" t="s">
        <v>31</v>
      </c>
    </row>
    <row r="47" customFormat="false" ht="15" hidden="false" customHeight="false" outlineLevel="0" collapsed="false">
      <c r="A47" s="2" t="s">
        <v>255</v>
      </c>
      <c r="B47" s="2" t="s">
        <v>256</v>
      </c>
      <c r="C47" s="2" t="s">
        <v>93</v>
      </c>
      <c r="D47" s="2" t="s">
        <v>94</v>
      </c>
      <c r="E47" s="3" t="n">
        <v>46268</v>
      </c>
      <c r="F47" s="4" t="n">
        <v>696410</v>
      </c>
      <c r="G47" s="4" t="n">
        <v>479750</v>
      </c>
      <c r="H47" s="2" t="s">
        <v>95</v>
      </c>
      <c r="I47" s="5" t="n">
        <f aca="false">IF(OR(F47="",G47=""),"",(F47-G47)/G47)</f>
        <v>0.451610213652944</v>
      </c>
      <c r="J47" s="2" t="s">
        <v>257</v>
      </c>
      <c r="K47" s="2" t="s">
        <v>258</v>
      </c>
      <c r="L47" s="2" t="s">
        <v>259</v>
      </c>
      <c r="M47" s="2"/>
      <c r="N47" s="2"/>
      <c r="O47" s="2" t="s">
        <v>71</v>
      </c>
      <c r="P47" s="6" t="s">
        <v>260</v>
      </c>
      <c r="Q47" s="7" t="s">
        <v>30</v>
      </c>
      <c r="R47" s="8" t="s">
        <v>31</v>
      </c>
    </row>
    <row r="48" customFormat="false" ht="15" hidden="false" customHeight="false" outlineLevel="0" collapsed="false">
      <c r="A48" s="2" t="s">
        <v>261</v>
      </c>
      <c r="B48" s="2" t="s">
        <v>262</v>
      </c>
      <c r="C48" s="2" t="s">
        <v>103</v>
      </c>
      <c r="D48" s="2" t="s">
        <v>21</v>
      </c>
      <c r="E48" s="3" t="n">
        <v>46246</v>
      </c>
      <c r="F48" s="4"/>
      <c r="G48" s="4" t="n">
        <v>125000</v>
      </c>
      <c r="H48" s="2" t="s">
        <v>104</v>
      </c>
      <c r="I48" s="5" t="str">
        <f aca="false">IF(OR(F48="",G48=""),"",(F48-G48)/G48)</f>
        <v/>
      </c>
      <c r="J48" s="2" t="s">
        <v>37</v>
      </c>
      <c r="K48" s="2"/>
      <c r="L48" s="2"/>
      <c r="M48" s="2"/>
      <c r="N48" s="2"/>
      <c r="O48" s="2" t="s">
        <v>38</v>
      </c>
      <c r="P48" s="6" t="s">
        <v>263</v>
      </c>
      <c r="Q48" s="7" t="s">
        <v>30</v>
      </c>
      <c r="R48" s="8" t="s">
        <v>31</v>
      </c>
    </row>
    <row r="49" customFormat="false" ht="15" hidden="false" customHeight="false" outlineLevel="0" collapsed="false">
      <c r="A49" s="2" t="s">
        <v>264</v>
      </c>
      <c r="B49" s="2" t="s">
        <v>33</v>
      </c>
      <c r="C49" s="2" t="s">
        <v>265</v>
      </c>
      <c r="D49" s="2" t="s">
        <v>266</v>
      </c>
      <c r="E49" s="3" t="n">
        <v>46156</v>
      </c>
      <c r="F49" s="4" t="n">
        <v>258520</v>
      </c>
      <c r="G49" s="4" t="n">
        <v>196400</v>
      </c>
      <c r="H49" s="2" t="s">
        <v>267</v>
      </c>
      <c r="I49" s="5" t="n">
        <f aca="false">IF(OR(F49="",G49=""),"",(F49-G49)/G49)</f>
        <v>0.316293279022403</v>
      </c>
      <c r="J49" s="2" t="s">
        <v>37</v>
      </c>
      <c r="K49" s="2"/>
      <c r="L49" s="2"/>
      <c r="M49" s="2"/>
      <c r="N49" s="2"/>
      <c r="O49" s="2" t="s">
        <v>38</v>
      </c>
      <c r="P49" s="6" t="s">
        <v>268</v>
      </c>
      <c r="Q49" s="7" t="s">
        <v>30</v>
      </c>
      <c r="R49" s="8" t="s">
        <v>31</v>
      </c>
    </row>
    <row r="50" customFormat="false" ht="15" hidden="false" customHeight="false" outlineLevel="0" collapsed="false">
      <c r="A50" s="2" t="s">
        <v>269</v>
      </c>
      <c r="B50" s="2" t="s">
        <v>33</v>
      </c>
      <c r="C50" s="2" t="s">
        <v>265</v>
      </c>
      <c r="D50" s="2" t="s">
        <v>266</v>
      </c>
      <c r="E50" s="3" t="n">
        <v>46156</v>
      </c>
      <c r="F50" s="4" t="n">
        <v>492662</v>
      </c>
      <c r="G50" s="4" t="n">
        <v>196400</v>
      </c>
      <c r="H50" s="2" t="s">
        <v>267</v>
      </c>
      <c r="I50" s="5" t="n">
        <f aca="false">IF(OR(F50="",G50=""),"",(F50-G50)/G50)</f>
        <v>1.50846232179226</v>
      </c>
      <c r="J50" s="2" t="s">
        <v>37</v>
      </c>
      <c r="K50" s="2"/>
      <c r="L50" s="2"/>
      <c r="M50" s="2"/>
      <c r="N50" s="2"/>
      <c r="O50" s="2" t="s">
        <v>38</v>
      </c>
      <c r="P50" s="6" t="s">
        <v>270</v>
      </c>
      <c r="Q50" s="7" t="s">
        <v>30</v>
      </c>
      <c r="R50" s="8" t="s">
        <v>31</v>
      </c>
    </row>
    <row r="51" customFormat="false" ht="15" hidden="false" customHeight="false" outlineLevel="0" collapsed="false">
      <c r="A51" s="2" t="s">
        <v>271</v>
      </c>
      <c r="B51" s="2" t="s">
        <v>33</v>
      </c>
      <c r="C51" s="2" t="s">
        <v>265</v>
      </c>
      <c r="D51" s="2" t="s">
        <v>266</v>
      </c>
      <c r="E51" s="3" t="n">
        <v>46156</v>
      </c>
      <c r="F51" s="4" t="n">
        <v>763000</v>
      </c>
      <c r="G51" s="4" t="n">
        <v>196400</v>
      </c>
      <c r="H51" s="2" t="s">
        <v>267</v>
      </c>
      <c r="I51" s="5" t="n">
        <f aca="false">IF(OR(F51="",G51=""),"",(F51-G51)/G51)</f>
        <v>2.88492871690428</v>
      </c>
      <c r="J51" s="2" t="s">
        <v>37</v>
      </c>
      <c r="K51" s="2"/>
      <c r="L51" s="2"/>
      <c r="M51" s="2"/>
      <c r="N51" s="2"/>
      <c r="O51" s="2" t="s">
        <v>38</v>
      </c>
      <c r="P51" s="6" t="s">
        <v>272</v>
      </c>
      <c r="Q51" s="7" t="s">
        <v>30</v>
      </c>
      <c r="R51" s="8" t="s">
        <v>31</v>
      </c>
    </row>
    <row r="52" customFormat="false" ht="15" hidden="false" customHeight="false" outlineLevel="0" collapsed="false">
      <c r="A52" s="2" t="s">
        <v>273</v>
      </c>
      <c r="B52" s="2" t="s">
        <v>59</v>
      </c>
      <c r="C52" s="2" t="s">
        <v>42</v>
      </c>
      <c r="D52" s="2" t="s">
        <v>43</v>
      </c>
      <c r="E52" s="3" t="n">
        <v>46317</v>
      </c>
      <c r="F52" s="4" t="n">
        <v>1355267.5</v>
      </c>
      <c r="G52" s="4" t="n">
        <v>1111986.8</v>
      </c>
      <c r="H52" s="2" t="s">
        <v>44</v>
      </c>
      <c r="I52" s="5" t="n">
        <f aca="false">IF(OR(F52="",G52=""),"",(F52-G52)/G52)</f>
        <v>0.218780204944879</v>
      </c>
      <c r="J52" s="2" t="s">
        <v>37</v>
      </c>
      <c r="K52" s="2"/>
      <c r="L52" s="2"/>
      <c r="M52" s="2"/>
      <c r="N52" s="2"/>
      <c r="O52" s="2" t="s">
        <v>38</v>
      </c>
      <c r="P52" s="6" t="s">
        <v>274</v>
      </c>
      <c r="Q52" s="7" t="s">
        <v>30</v>
      </c>
      <c r="R52" s="8" t="s">
        <v>31</v>
      </c>
    </row>
    <row r="53" customFormat="false" ht="15" hidden="false" customHeight="false" outlineLevel="0" collapsed="false">
      <c r="A53" s="2" t="s">
        <v>275</v>
      </c>
      <c r="B53" s="2" t="s">
        <v>276</v>
      </c>
      <c r="C53" s="2" t="s">
        <v>235</v>
      </c>
      <c r="D53" s="2" t="s">
        <v>236</v>
      </c>
      <c r="E53" s="3" t="n">
        <v>46281</v>
      </c>
      <c r="F53" s="4" t="n">
        <v>86575</v>
      </c>
      <c r="G53" s="4" t="n">
        <v>78552</v>
      </c>
      <c r="H53" s="2" t="s">
        <v>237</v>
      </c>
      <c r="I53" s="5" t="n">
        <f aca="false">IF(OR(F53="",G53=""),"",(F53-G53)/G53)</f>
        <v>0.102136164578878</v>
      </c>
      <c r="J53" s="2" t="s">
        <v>37</v>
      </c>
      <c r="K53" s="2"/>
      <c r="L53" s="2"/>
      <c r="M53" s="2"/>
      <c r="N53" s="2"/>
      <c r="O53" s="2" t="s">
        <v>38</v>
      </c>
      <c r="P53" s="6" t="s">
        <v>277</v>
      </c>
      <c r="Q53" s="7" t="s">
        <v>30</v>
      </c>
      <c r="R53" s="8" t="s">
        <v>31</v>
      </c>
    </row>
    <row r="54" customFormat="false" ht="15" hidden="false" customHeight="false" outlineLevel="0" collapsed="false">
      <c r="A54" s="2" t="s">
        <v>278</v>
      </c>
      <c r="B54" s="2" t="s">
        <v>276</v>
      </c>
      <c r="C54" s="2" t="s">
        <v>235</v>
      </c>
      <c r="D54" s="2" t="s">
        <v>236</v>
      </c>
      <c r="E54" s="3" t="n">
        <v>46281</v>
      </c>
      <c r="F54" s="4" t="n">
        <v>188139.4</v>
      </c>
      <c r="G54" s="4" t="n">
        <v>78552</v>
      </c>
      <c r="H54" s="2" t="s">
        <v>237</v>
      </c>
      <c r="I54" s="5" t="n">
        <f aca="false">IF(OR(F54="",G54=""),"",(F54-G54)/G54)</f>
        <v>1.39509369589571</v>
      </c>
      <c r="J54" s="2" t="s">
        <v>37</v>
      </c>
      <c r="K54" s="2"/>
      <c r="L54" s="2"/>
      <c r="M54" s="2"/>
      <c r="N54" s="2"/>
      <c r="O54" s="2" t="s">
        <v>38</v>
      </c>
      <c r="P54" s="6" t="s">
        <v>277</v>
      </c>
      <c r="Q54" s="7" t="s">
        <v>30</v>
      </c>
      <c r="R54" s="8" t="s">
        <v>31</v>
      </c>
    </row>
    <row r="55" customFormat="false" ht="15" hidden="false" customHeight="false" outlineLevel="0" collapsed="false">
      <c r="A55" s="2" t="s">
        <v>279</v>
      </c>
      <c r="B55" s="2" t="s">
        <v>241</v>
      </c>
      <c r="C55" s="2" t="s">
        <v>242</v>
      </c>
      <c r="D55" s="2" t="s">
        <v>243</v>
      </c>
      <c r="E55" s="3" t="n">
        <v>46274</v>
      </c>
      <c r="F55" s="4" t="n">
        <v>23069</v>
      </c>
      <c r="G55" s="4" t="n">
        <v>17600</v>
      </c>
      <c r="H55" s="2" t="s">
        <v>244</v>
      </c>
      <c r="I55" s="5" t="n">
        <f aca="false">IF(OR(F55="",G55=""),"",(F55-G55)/G55)</f>
        <v>0.310738636363636</v>
      </c>
      <c r="J55" s="2" t="s">
        <v>37</v>
      </c>
      <c r="K55" s="2"/>
      <c r="L55" s="2"/>
      <c r="M55" s="2"/>
      <c r="N55" s="2"/>
      <c r="O55" s="2" t="s">
        <v>38</v>
      </c>
      <c r="P55" s="6" t="s">
        <v>277</v>
      </c>
      <c r="Q55" s="7" t="s">
        <v>30</v>
      </c>
      <c r="R55" s="8" t="s">
        <v>31</v>
      </c>
    </row>
    <row r="56" customFormat="false" ht="15" hidden="false" customHeight="false" outlineLevel="0" collapsed="false">
      <c r="A56" s="2" t="s">
        <v>280</v>
      </c>
      <c r="B56" s="2" t="s">
        <v>281</v>
      </c>
      <c r="C56" s="2" t="s">
        <v>93</v>
      </c>
      <c r="D56" s="2" t="s">
        <v>94</v>
      </c>
      <c r="E56" s="3" t="n">
        <v>46268</v>
      </c>
      <c r="F56" s="4" t="n">
        <v>676346.15</v>
      </c>
      <c r="G56" s="4" t="n">
        <v>479750</v>
      </c>
      <c r="H56" s="2" t="s">
        <v>95</v>
      </c>
      <c r="I56" s="5" t="n">
        <f aca="false">IF(OR(F56="",G56=""),"",(F56-G56)/G56)</f>
        <v>0.409788744137572</v>
      </c>
      <c r="J56" s="2" t="s">
        <v>37</v>
      </c>
      <c r="K56" s="2"/>
      <c r="L56" s="2"/>
      <c r="M56" s="2"/>
      <c r="N56" s="2"/>
      <c r="O56" s="2" t="s">
        <v>38</v>
      </c>
      <c r="P56" s="6" t="s">
        <v>277</v>
      </c>
      <c r="Q56" s="7" t="s">
        <v>30</v>
      </c>
      <c r="R56" s="8" t="s">
        <v>31</v>
      </c>
    </row>
    <row r="57" customFormat="false" ht="23.85" hidden="false" customHeight="false" outlineLevel="0" collapsed="false">
      <c r="A57" s="2" t="s">
        <v>282</v>
      </c>
      <c r="B57" s="2" t="s">
        <v>283</v>
      </c>
      <c r="C57" s="2" t="s">
        <v>143</v>
      </c>
      <c r="D57" s="2" t="s">
        <v>43</v>
      </c>
      <c r="E57" s="3" t="n">
        <v>46261</v>
      </c>
      <c r="F57" s="4" t="n">
        <v>9052784.95</v>
      </c>
      <c r="G57" s="4" t="n">
        <v>2299281</v>
      </c>
      <c r="H57" s="2" t="s">
        <v>144</v>
      </c>
      <c r="I57" s="5" t="n">
        <f aca="false">IF(OR(F57="",G57=""),"",(F57-G57)/G57)</f>
        <v>2.93722426706436</v>
      </c>
      <c r="J57" s="2" t="s">
        <v>37</v>
      </c>
      <c r="K57" s="2"/>
      <c r="L57" s="2" t="s">
        <v>284</v>
      </c>
      <c r="M57" s="2" t="s">
        <v>285</v>
      </c>
      <c r="N57" s="2" t="s">
        <v>286</v>
      </c>
      <c r="O57" s="2" t="s">
        <v>28</v>
      </c>
      <c r="P57" s="6" t="s">
        <v>287</v>
      </c>
      <c r="Q57" s="7" t="s">
        <v>30</v>
      </c>
      <c r="R57" s="8" t="s">
        <v>31</v>
      </c>
    </row>
    <row r="58" customFormat="false" ht="23.85" hidden="false" customHeight="false" outlineLevel="0" collapsed="false">
      <c r="A58" s="2" t="s">
        <v>288</v>
      </c>
      <c r="B58" s="2" t="s">
        <v>289</v>
      </c>
      <c r="C58" s="2" t="s">
        <v>103</v>
      </c>
      <c r="D58" s="2" t="s">
        <v>21</v>
      </c>
      <c r="E58" s="3" t="n">
        <v>46246</v>
      </c>
      <c r="F58" s="4" t="n">
        <v>193500</v>
      </c>
      <c r="G58" s="4" t="n">
        <v>125000</v>
      </c>
      <c r="H58" s="2" t="s">
        <v>104</v>
      </c>
      <c r="I58" s="5" t="n">
        <f aca="false">IF(OR(F58="",G58=""),"",(F58-G58)/G58)</f>
        <v>0.548</v>
      </c>
      <c r="J58" s="2" t="s">
        <v>37</v>
      </c>
      <c r="K58" s="2"/>
      <c r="L58" s="2" t="s">
        <v>290</v>
      </c>
      <c r="M58" s="2" t="s">
        <v>291</v>
      </c>
      <c r="N58" s="2" t="s">
        <v>292</v>
      </c>
      <c r="O58" s="2" t="s">
        <v>71</v>
      </c>
      <c r="P58" s="6" t="s">
        <v>293</v>
      </c>
      <c r="Q58" s="7" t="s">
        <v>30</v>
      </c>
      <c r="R58" s="8" t="s">
        <v>31</v>
      </c>
    </row>
    <row r="59" customFormat="false" ht="15" hidden="false" customHeight="false" outlineLevel="0" collapsed="false">
      <c r="A59" s="2" t="s">
        <v>294</v>
      </c>
      <c r="B59" s="2" t="s">
        <v>295</v>
      </c>
      <c r="C59" s="2" t="s">
        <v>103</v>
      </c>
      <c r="D59" s="2" t="s">
        <v>21</v>
      </c>
      <c r="E59" s="3" t="n">
        <v>46246</v>
      </c>
      <c r="F59" s="4" t="n">
        <v>267400</v>
      </c>
      <c r="G59" s="4" t="n">
        <v>125000</v>
      </c>
      <c r="H59" s="2" t="s">
        <v>104</v>
      </c>
      <c r="I59" s="5" t="n">
        <f aca="false">IF(OR(F59="",G59=""),"",(F59-G59)/G59)</f>
        <v>1.1392</v>
      </c>
      <c r="J59" s="2" t="s">
        <v>37</v>
      </c>
      <c r="K59" s="2"/>
      <c r="L59" s="2" t="s">
        <v>296</v>
      </c>
      <c r="M59" s="2"/>
      <c r="N59" s="2" t="s">
        <v>297</v>
      </c>
      <c r="O59" s="2" t="s">
        <v>71</v>
      </c>
      <c r="P59" s="6" t="s">
        <v>298</v>
      </c>
      <c r="Q59" s="7" t="s">
        <v>30</v>
      </c>
      <c r="R59" s="8" t="s">
        <v>31</v>
      </c>
    </row>
    <row r="60" customFormat="false" ht="23.85" hidden="false" customHeight="false" outlineLevel="0" collapsed="false">
      <c r="A60" s="2" t="s">
        <v>299</v>
      </c>
      <c r="B60" s="2" t="s">
        <v>300</v>
      </c>
      <c r="C60" s="2" t="s">
        <v>301</v>
      </c>
      <c r="D60" s="2" t="s">
        <v>302</v>
      </c>
      <c r="E60" s="3" t="n">
        <v>46232</v>
      </c>
      <c r="F60" s="4" t="n">
        <v>247000</v>
      </c>
      <c r="G60" s="4" t="n">
        <v>177500</v>
      </c>
      <c r="H60" s="2" t="s">
        <v>303</v>
      </c>
      <c r="I60" s="5" t="n">
        <f aca="false">IF(OR(F60="",G60=""),"",(F60-G60)/G60)</f>
        <v>0.391549295774648</v>
      </c>
      <c r="J60" s="2" t="s">
        <v>37</v>
      </c>
      <c r="K60" s="2"/>
      <c r="L60" s="2" t="s">
        <v>304</v>
      </c>
      <c r="M60" s="2" t="s">
        <v>305</v>
      </c>
      <c r="N60" s="2" t="s">
        <v>306</v>
      </c>
      <c r="O60" s="2" t="s">
        <v>71</v>
      </c>
      <c r="P60" s="6" t="s">
        <v>307</v>
      </c>
      <c r="Q60" s="7" t="s">
        <v>30</v>
      </c>
      <c r="R60" s="8" t="s">
        <v>31</v>
      </c>
    </row>
    <row r="61" customFormat="false" ht="15" hidden="false" customHeight="false" outlineLevel="0" collapsed="false">
      <c r="A61" s="2" t="s">
        <v>308</v>
      </c>
      <c r="B61" s="2" t="s">
        <v>309</v>
      </c>
      <c r="C61" s="2" t="s">
        <v>310</v>
      </c>
      <c r="D61" s="2" t="s">
        <v>311</v>
      </c>
      <c r="E61" s="3" t="n">
        <v>46216</v>
      </c>
      <c r="F61" s="4" t="n">
        <v>648900</v>
      </c>
      <c r="G61" s="4" t="n">
        <v>569379</v>
      </c>
      <c r="H61" s="2" t="s">
        <v>312</v>
      </c>
      <c r="I61" s="5" t="n">
        <f aca="false">IF(OR(F61="",G61=""),"",(F61-G61)/G61)</f>
        <v>0.139662685135911</v>
      </c>
      <c r="J61" s="2" t="s">
        <v>313</v>
      </c>
      <c r="K61" s="2" t="s">
        <v>314</v>
      </c>
      <c r="L61" s="2" t="s">
        <v>315</v>
      </c>
      <c r="M61" s="2"/>
      <c r="N61" s="2"/>
      <c r="O61" s="2" t="s">
        <v>38</v>
      </c>
      <c r="P61" s="6" t="s">
        <v>316</v>
      </c>
      <c r="Q61" s="7" t="s">
        <v>30</v>
      </c>
      <c r="R61" s="8" t="s">
        <v>31</v>
      </c>
    </row>
    <row r="62" customFormat="false" ht="23.85" hidden="false" customHeight="false" outlineLevel="0" collapsed="false">
      <c r="A62" s="2" t="s">
        <v>22</v>
      </c>
      <c r="B62" s="2" t="s">
        <v>317</v>
      </c>
      <c r="C62" s="2" t="s">
        <v>318</v>
      </c>
      <c r="D62" s="2" t="s">
        <v>21</v>
      </c>
      <c r="E62" s="3" t="n">
        <v>46204</v>
      </c>
      <c r="F62" s="4" t="n">
        <v>1516971</v>
      </c>
      <c r="G62" s="4" t="n">
        <v>886828.54</v>
      </c>
      <c r="H62" s="2" t="s">
        <v>319</v>
      </c>
      <c r="I62" s="5" t="n">
        <f aca="false">IF(OR(F62="",G62=""),"",(F62-G62)/G62)</f>
        <v>0.710557262850381</v>
      </c>
      <c r="J62" s="2" t="s">
        <v>37</v>
      </c>
      <c r="K62" s="2"/>
      <c r="L62" s="2" t="s">
        <v>320</v>
      </c>
      <c r="M62" s="2"/>
      <c r="N62" s="2"/>
      <c r="O62" s="2" t="s">
        <v>71</v>
      </c>
      <c r="P62" s="6" t="s">
        <v>321</v>
      </c>
      <c r="Q62" s="7" t="s">
        <v>30</v>
      </c>
      <c r="R62" s="8" t="s">
        <v>31</v>
      </c>
    </row>
    <row r="63" customFormat="false" ht="23.85" hidden="false" customHeight="false" outlineLevel="0" collapsed="false">
      <c r="A63" s="2" t="s">
        <v>322</v>
      </c>
      <c r="B63" s="2" t="s">
        <v>126</v>
      </c>
      <c r="C63" s="2" t="s">
        <v>323</v>
      </c>
      <c r="D63" s="2" t="s">
        <v>43</v>
      </c>
      <c r="E63" s="3" t="n">
        <v>46196</v>
      </c>
      <c r="F63" s="4" t="n">
        <v>1685410</v>
      </c>
      <c r="G63" s="4" t="n">
        <v>677750</v>
      </c>
      <c r="H63" s="2" t="s">
        <v>139</v>
      </c>
      <c r="I63" s="5" t="n">
        <f aca="false">IF(OR(F63="",G63=""),"",(F63-G63)/G63)</f>
        <v>1.48677240870527</v>
      </c>
      <c r="J63" s="2" t="s">
        <v>37</v>
      </c>
      <c r="K63" s="2"/>
      <c r="L63" s="2" t="s">
        <v>324</v>
      </c>
      <c r="M63" s="2" t="s">
        <v>325</v>
      </c>
      <c r="N63" s="2" t="s">
        <v>326</v>
      </c>
      <c r="O63" s="2" t="s">
        <v>28</v>
      </c>
      <c r="P63" s="6" t="s">
        <v>327</v>
      </c>
      <c r="Q63" s="7" t="s">
        <v>30</v>
      </c>
      <c r="R63" s="8" t="s">
        <v>31</v>
      </c>
    </row>
    <row r="64" customFormat="false" ht="15" hidden="false" customHeight="false" outlineLevel="0" collapsed="false">
      <c r="A64" s="2" t="s">
        <v>328</v>
      </c>
      <c r="B64" s="2" t="s">
        <v>329</v>
      </c>
      <c r="C64" s="2" t="s">
        <v>330</v>
      </c>
      <c r="D64" s="2" t="s">
        <v>331</v>
      </c>
      <c r="E64" s="3" t="n">
        <v>46065</v>
      </c>
      <c r="F64" s="4" t="n">
        <v>204406</v>
      </c>
      <c r="G64" s="4" t="n">
        <v>160078.5</v>
      </c>
      <c r="H64" s="2" t="s">
        <v>332</v>
      </c>
      <c r="I64" s="5" t="n">
        <f aca="false">IF(OR(F64="",G64=""),"",(F64-G64)/G64)</f>
        <v>0.276911015533004</v>
      </c>
      <c r="J64" s="2" t="s">
        <v>37</v>
      </c>
      <c r="K64" s="2"/>
      <c r="L64" s="2" t="s">
        <v>333</v>
      </c>
      <c r="M64" s="2" t="s">
        <v>334</v>
      </c>
      <c r="N64" s="2"/>
      <c r="O64" s="2" t="s">
        <v>71</v>
      </c>
      <c r="P64" s="6" t="s">
        <v>335</v>
      </c>
      <c r="Q64" s="7" t="s">
        <v>30</v>
      </c>
      <c r="R64" s="8" t="s">
        <v>31</v>
      </c>
    </row>
    <row r="65" customFormat="false" ht="15" hidden="false" customHeight="false" outlineLevel="0" collapsed="false">
      <c r="A65" s="2" t="s">
        <v>336</v>
      </c>
      <c r="B65" s="2" t="s">
        <v>337</v>
      </c>
      <c r="C65" s="2" t="s">
        <v>330</v>
      </c>
      <c r="D65" s="2" t="s">
        <v>331</v>
      </c>
      <c r="E65" s="3" t="n">
        <v>46065</v>
      </c>
      <c r="F65" s="4" t="n">
        <v>275750</v>
      </c>
      <c r="G65" s="4" t="n">
        <v>160078.5</v>
      </c>
      <c r="H65" s="2" t="s">
        <v>332</v>
      </c>
      <c r="I65" s="5" t="n">
        <f aca="false">IF(OR(F65="",G65=""),"",(F65-G65)/G65)</f>
        <v>0.722592353126747</v>
      </c>
      <c r="J65" s="2" t="s">
        <v>37</v>
      </c>
      <c r="K65" s="2"/>
      <c r="L65" s="2" t="s">
        <v>338</v>
      </c>
      <c r="M65" s="2" t="s">
        <v>339</v>
      </c>
      <c r="N65" s="2" t="s">
        <v>340</v>
      </c>
      <c r="O65" s="2" t="s">
        <v>28</v>
      </c>
      <c r="P65" s="6" t="s">
        <v>341</v>
      </c>
      <c r="Q65" s="7" t="s">
        <v>30</v>
      </c>
      <c r="R65" s="8" t="s">
        <v>31</v>
      </c>
    </row>
    <row r="66" customFormat="false" ht="15" hidden="false" customHeight="false" outlineLevel="0" collapsed="false">
      <c r="A66" s="2" t="s">
        <v>342</v>
      </c>
      <c r="B66" s="2" t="s">
        <v>343</v>
      </c>
      <c r="C66" s="2" t="s">
        <v>344</v>
      </c>
      <c r="D66" s="2" t="s">
        <v>345</v>
      </c>
      <c r="E66" s="3" t="n">
        <v>46056</v>
      </c>
      <c r="F66" s="4" t="n">
        <v>47500</v>
      </c>
      <c r="G66" s="4" t="n">
        <v>37000</v>
      </c>
      <c r="H66" s="2" t="s">
        <v>346</v>
      </c>
      <c r="I66" s="5" t="n">
        <f aca="false">IF(OR(F66="",G66=""),"",(F66-G66)/G66)</f>
        <v>0.283783783783784</v>
      </c>
      <c r="J66" s="2" t="s">
        <v>37</v>
      </c>
      <c r="K66" s="2"/>
      <c r="L66" s="2" t="s">
        <v>347</v>
      </c>
      <c r="M66" s="2" t="s">
        <v>348</v>
      </c>
      <c r="N66" s="2"/>
      <c r="O66" s="2" t="s">
        <v>28</v>
      </c>
      <c r="P66" s="6" t="s">
        <v>341</v>
      </c>
      <c r="Q66" s="7" t="s">
        <v>30</v>
      </c>
      <c r="R66" s="8" t="s">
        <v>31</v>
      </c>
    </row>
    <row r="67" customFormat="false" ht="15" hidden="false" customHeight="false" outlineLevel="0" collapsed="false">
      <c r="A67" s="2" t="s">
        <v>349</v>
      </c>
      <c r="B67" s="2" t="s">
        <v>112</v>
      </c>
      <c r="C67" s="2" t="s">
        <v>350</v>
      </c>
      <c r="D67" s="2" t="s">
        <v>43</v>
      </c>
      <c r="E67" s="3" t="n">
        <v>46252</v>
      </c>
      <c r="F67" s="4" t="n">
        <v>7511988</v>
      </c>
      <c r="G67" s="4" t="n">
        <v>3673989.12</v>
      </c>
      <c r="H67" s="2" t="s">
        <v>351</v>
      </c>
      <c r="I67" s="5" t="n">
        <f aca="false">IF(OR(F67="",G67=""),"",(F67-G67)/G67)</f>
        <v>1.04464078543597</v>
      </c>
      <c r="J67" s="2" t="s">
        <v>37</v>
      </c>
      <c r="K67" s="2"/>
      <c r="L67" s="2"/>
      <c r="M67" s="2"/>
      <c r="N67" s="2"/>
      <c r="O67" s="2" t="s">
        <v>38</v>
      </c>
      <c r="P67" s="6" t="s">
        <v>352</v>
      </c>
      <c r="Q67" s="7" t="s">
        <v>30</v>
      </c>
      <c r="R67" s="8" t="s">
        <v>31</v>
      </c>
    </row>
    <row r="68" customFormat="false" ht="23.85" hidden="false" customHeight="false" outlineLevel="0" collapsed="false">
      <c r="A68" s="2" t="s">
        <v>353</v>
      </c>
      <c r="B68" s="2" t="s">
        <v>354</v>
      </c>
      <c r="C68" s="2" t="s">
        <v>103</v>
      </c>
      <c r="D68" s="2" t="s">
        <v>21</v>
      </c>
      <c r="E68" s="3" t="n">
        <v>46246</v>
      </c>
      <c r="F68" s="4" t="n">
        <v>216657</v>
      </c>
      <c r="G68" s="4" t="n">
        <v>125000</v>
      </c>
      <c r="H68" s="2" t="s">
        <v>104</v>
      </c>
      <c r="I68" s="5" t="n">
        <f aca="false">IF(OR(F68="",G68=""),"",(F68-G68)/G68)</f>
        <v>0.733256</v>
      </c>
      <c r="J68" s="2" t="s">
        <v>355</v>
      </c>
      <c r="K68" s="2" t="s">
        <v>106</v>
      </c>
      <c r="L68" s="2" t="s">
        <v>356</v>
      </c>
      <c r="M68" s="2" t="s">
        <v>357</v>
      </c>
      <c r="N68" s="2" t="s">
        <v>358</v>
      </c>
      <c r="O68" s="2" t="s">
        <v>28</v>
      </c>
      <c r="P68" s="6" t="s">
        <v>359</v>
      </c>
      <c r="Q68" s="7" t="s">
        <v>30</v>
      </c>
      <c r="R68" s="8" t="s">
        <v>31</v>
      </c>
    </row>
    <row r="69" customFormat="false" ht="15" hidden="false" customHeight="false" outlineLevel="0" collapsed="false">
      <c r="A69" s="2" t="s">
        <v>360</v>
      </c>
      <c r="B69" s="2" t="s">
        <v>361</v>
      </c>
      <c r="C69" s="2" t="s">
        <v>103</v>
      </c>
      <c r="D69" s="2" t="s">
        <v>21</v>
      </c>
      <c r="E69" s="3" t="n">
        <v>46246</v>
      </c>
      <c r="F69" s="4" t="n">
        <v>274975</v>
      </c>
      <c r="G69" s="4" t="n">
        <v>125000</v>
      </c>
      <c r="H69" s="2" t="s">
        <v>104</v>
      </c>
      <c r="I69" s="5" t="n">
        <f aca="false">IF(OR(F69="",G69=""),"",(F69-G69)/G69)</f>
        <v>1.1998</v>
      </c>
      <c r="J69" s="2" t="s">
        <v>37</v>
      </c>
      <c r="K69" s="2"/>
      <c r="L69" s="2"/>
      <c r="M69" s="2"/>
      <c r="N69" s="2"/>
      <c r="O69" s="2" t="s">
        <v>38</v>
      </c>
      <c r="P69" s="6" t="s">
        <v>362</v>
      </c>
      <c r="Q69" s="7" t="s">
        <v>30</v>
      </c>
      <c r="R69" s="8" t="s">
        <v>31</v>
      </c>
    </row>
    <row r="70" customFormat="false" ht="15" hidden="false" customHeight="false" outlineLevel="0" collapsed="false">
      <c r="A70" s="2" t="s">
        <v>363</v>
      </c>
      <c r="B70" s="2" t="s">
        <v>364</v>
      </c>
      <c r="C70" s="2" t="s">
        <v>103</v>
      </c>
      <c r="D70" s="2" t="s">
        <v>21</v>
      </c>
      <c r="E70" s="3" t="n">
        <v>46246</v>
      </c>
      <c r="F70" s="4" t="n">
        <v>311500</v>
      </c>
      <c r="G70" s="4" t="n">
        <v>125000</v>
      </c>
      <c r="H70" s="2" t="s">
        <v>104</v>
      </c>
      <c r="I70" s="5" t="n">
        <f aca="false">IF(OR(F70="",G70=""),"",(F70-G70)/G70)</f>
        <v>1.492</v>
      </c>
      <c r="J70" s="2" t="s">
        <v>37</v>
      </c>
      <c r="K70" s="2"/>
      <c r="L70" s="2"/>
      <c r="M70" s="2"/>
      <c r="N70" s="2"/>
      <c r="O70" s="2" t="s">
        <v>38</v>
      </c>
      <c r="P70" s="6" t="s">
        <v>362</v>
      </c>
      <c r="Q70" s="7" t="s">
        <v>30</v>
      </c>
      <c r="R70" s="8" t="s">
        <v>31</v>
      </c>
    </row>
    <row r="71" customFormat="false" ht="15" hidden="false" customHeight="false" outlineLevel="0" collapsed="false">
      <c r="A71" s="2" t="s">
        <v>365</v>
      </c>
      <c r="B71" s="2" t="s">
        <v>366</v>
      </c>
      <c r="C71" s="2" t="s">
        <v>103</v>
      </c>
      <c r="D71" s="2" t="s">
        <v>21</v>
      </c>
      <c r="E71" s="3" t="n">
        <v>46246</v>
      </c>
      <c r="F71" s="4" t="n">
        <v>336037</v>
      </c>
      <c r="G71" s="4" t="n">
        <v>125000</v>
      </c>
      <c r="H71" s="2" t="s">
        <v>104</v>
      </c>
      <c r="I71" s="5" t="n">
        <f aca="false">IF(OR(F71="",G71=""),"",(F71-G71)/G71)</f>
        <v>1.688296</v>
      </c>
      <c r="J71" s="2" t="s">
        <v>37</v>
      </c>
      <c r="K71" s="2"/>
      <c r="L71" s="2"/>
      <c r="M71" s="2"/>
      <c r="N71" s="2"/>
      <c r="O71" s="2" t="s">
        <v>38</v>
      </c>
      <c r="P71" s="6" t="s">
        <v>367</v>
      </c>
      <c r="Q71" s="7" t="s">
        <v>30</v>
      </c>
      <c r="R71" s="8" t="s">
        <v>31</v>
      </c>
    </row>
    <row r="72" customFormat="false" ht="15" hidden="false" customHeight="false" outlineLevel="0" collapsed="false">
      <c r="A72" s="2" t="s">
        <v>368</v>
      </c>
      <c r="B72" s="2" t="s">
        <v>369</v>
      </c>
      <c r="C72" s="2" t="s">
        <v>103</v>
      </c>
      <c r="D72" s="2" t="s">
        <v>21</v>
      </c>
      <c r="E72" s="3" t="n">
        <v>46246</v>
      </c>
      <c r="F72" s="4" t="n">
        <v>528000</v>
      </c>
      <c r="G72" s="4" t="n">
        <v>125000</v>
      </c>
      <c r="H72" s="2" t="s">
        <v>104</v>
      </c>
      <c r="I72" s="5" t="n">
        <f aca="false">IF(OR(F72="",G72=""),"",(F72-G72)/G72)</f>
        <v>3.224</v>
      </c>
      <c r="J72" s="2" t="s">
        <v>37</v>
      </c>
      <c r="K72" s="2"/>
      <c r="L72" s="2"/>
      <c r="M72" s="2"/>
      <c r="N72" s="2"/>
      <c r="O72" s="2" t="s">
        <v>38</v>
      </c>
      <c r="P72" s="6" t="s">
        <v>362</v>
      </c>
      <c r="Q72" s="7" t="s">
        <v>30</v>
      </c>
      <c r="R72" s="8" t="s">
        <v>31</v>
      </c>
    </row>
    <row r="73" customFormat="false" ht="15" hidden="false" customHeight="false" outlineLevel="0" collapsed="false">
      <c r="A73" s="2" t="s">
        <v>370</v>
      </c>
      <c r="B73" s="2" t="s">
        <v>112</v>
      </c>
      <c r="C73" s="2" t="s">
        <v>148</v>
      </c>
      <c r="D73" s="2" t="s">
        <v>43</v>
      </c>
      <c r="E73" s="3" t="n">
        <v>46238</v>
      </c>
      <c r="F73" s="4" t="n">
        <v>2194289.14</v>
      </c>
      <c r="G73" s="4" t="n">
        <v>1694675</v>
      </c>
      <c r="H73" s="2" t="s">
        <v>44</v>
      </c>
      <c r="I73" s="5" t="n">
        <f aca="false">IF(OR(F73="",G73=""),"",(F73-G73)/G73)</f>
        <v>0.294814132503282</v>
      </c>
      <c r="J73" s="2" t="s">
        <v>37</v>
      </c>
      <c r="K73" s="2"/>
      <c r="L73" s="2"/>
      <c r="M73" s="2"/>
      <c r="N73" s="2"/>
      <c r="O73" s="2" t="s">
        <v>38</v>
      </c>
      <c r="P73" s="6" t="s">
        <v>362</v>
      </c>
      <c r="Q73" s="7" t="s">
        <v>30</v>
      </c>
      <c r="R73" s="8" t="s">
        <v>31</v>
      </c>
    </row>
    <row r="74" customFormat="false" ht="15" hidden="false" customHeight="false" outlineLevel="0" collapsed="false">
      <c r="A74" s="2" t="s">
        <v>371</v>
      </c>
      <c r="B74" s="2" t="s">
        <v>300</v>
      </c>
      <c r="C74" s="2" t="s">
        <v>301</v>
      </c>
      <c r="D74" s="2" t="s">
        <v>302</v>
      </c>
      <c r="E74" s="3" t="n">
        <v>46232</v>
      </c>
      <c r="F74" s="4" t="n">
        <v>332000</v>
      </c>
      <c r="G74" s="4" t="n">
        <v>177500</v>
      </c>
      <c r="H74" s="2" t="s">
        <v>303</v>
      </c>
      <c r="I74" s="5" t="n">
        <f aca="false">IF(OR(F74="",G74=""),"",(F74-G74)/G74)</f>
        <v>0.870422535211268</v>
      </c>
      <c r="J74" s="2" t="s">
        <v>37</v>
      </c>
      <c r="K74" s="2"/>
      <c r="L74" s="2"/>
      <c r="M74" s="2"/>
      <c r="N74" s="2"/>
      <c r="O74" s="2" t="s">
        <v>38</v>
      </c>
      <c r="P74" s="6" t="s">
        <v>372</v>
      </c>
      <c r="Q74" s="7" t="s">
        <v>30</v>
      </c>
      <c r="R74" s="8" t="s">
        <v>31</v>
      </c>
    </row>
    <row r="75" customFormat="false" ht="15" hidden="false" customHeight="false" outlineLevel="0" collapsed="false">
      <c r="A75" s="2" t="s">
        <v>373</v>
      </c>
      <c r="B75" s="2" t="s">
        <v>112</v>
      </c>
      <c r="C75" s="2" t="s">
        <v>177</v>
      </c>
      <c r="D75" s="2" t="s">
        <v>43</v>
      </c>
      <c r="E75" s="3" t="n">
        <v>46224</v>
      </c>
      <c r="F75" s="4" t="n">
        <v>1034490</v>
      </c>
      <c r="G75" s="4" t="n">
        <v>890013.65</v>
      </c>
      <c r="H75" s="2" t="s">
        <v>178</v>
      </c>
      <c r="I75" s="5" t="n">
        <f aca="false">IF(OR(F75="",G75=""),"",(F75-G75)/G75)</f>
        <v>0.16233048785263</v>
      </c>
      <c r="J75" s="2" t="s">
        <v>37</v>
      </c>
      <c r="K75" s="2"/>
      <c r="L75" s="2"/>
      <c r="M75" s="2"/>
      <c r="N75" s="2"/>
      <c r="O75" s="2" t="s">
        <v>38</v>
      </c>
      <c r="P75" s="6" t="s">
        <v>374</v>
      </c>
      <c r="Q75" s="7" t="s">
        <v>30</v>
      </c>
      <c r="R75" s="8" t="s">
        <v>31</v>
      </c>
    </row>
    <row r="76" customFormat="false" ht="15" hidden="false" customHeight="false" outlineLevel="0" collapsed="false">
      <c r="A76" s="2" t="s">
        <v>375</v>
      </c>
      <c r="B76" s="2" t="s">
        <v>376</v>
      </c>
      <c r="C76" s="2" t="s">
        <v>310</v>
      </c>
      <c r="D76" s="2" t="s">
        <v>311</v>
      </c>
      <c r="E76" s="3" t="n">
        <v>46216</v>
      </c>
      <c r="F76" s="4" t="n">
        <v>874130</v>
      </c>
      <c r="G76" s="4" t="n">
        <v>569379</v>
      </c>
      <c r="H76" s="2" t="s">
        <v>312</v>
      </c>
      <c r="I76" s="5" t="n">
        <f aca="false">IF(OR(F76="",G76=""),"",(F76-G76)/G76)</f>
        <v>0.535234000551478</v>
      </c>
      <c r="J76" s="2" t="s">
        <v>37</v>
      </c>
      <c r="K76" s="2"/>
      <c r="L76" s="2"/>
      <c r="M76" s="2"/>
      <c r="N76" s="2"/>
      <c r="O76" s="2" t="s">
        <v>38</v>
      </c>
      <c r="P76" s="6" t="s">
        <v>362</v>
      </c>
      <c r="Q76" s="7" t="s">
        <v>30</v>
      </c>
      <c r="R76" s="8" t="s">
        <v>31</v>
      </c>
    </row>
    <row r="77" customFormat="false" ht="15" hidden="false" customHeight="false" outlineLevel="0" collapsed="false">
      <c r="A77" s="2" t="s">
        <v>377</v>
      </c>
      <c r="B77" s="2" t="s">
        <v>378</v>
      </c>
      <c r="C77" s="2" t="s">
        <v>310</v>
      </c>
      <c r="D77" s="2" t="s">
        <v>311</v>
      </c>
      <c r="E77" s="3" t="n">
        <v>46216</v>
      </c>
      <c r="F77" s="4" t="n">
        <v>906500</v>
      </c>
      <c r="G77" s="4" t="n">
        <v>569379</v>
      </c>
      <c r="H77" s="2" t="s">
        <v>312</v>
      </c>
      <c r="I77" s="5" t="n">
        <f aca="false">IF(OR(F77="",G77=""),"",(F77-G77)/G77)</f>
        <v>0.592085412352756</v>
      </c>
      <c r="J77" s="2" t="s">
        <v>37</v>
      </c>
      <c r="K77" s="2"/>
      <c r="L77" s="2"/>
      <c r="M77" s="2"/>
      <c r="N77" s="2"/>
      <c r="O77" s="2" t="s">
        <v>38</v>
      </c>
      <c r="P77" s="6" t="s">
        <v>362</v>
      </c>
      <c r="Q77" s="7" t="s">
        <v>30</v>
      </c>
      <c r="R77" s="8" t="s">
        <v>31</v>
      </c>
    </row>
    <row r="78" customFormat="false" ht="15" hidden="false" customHeight="false" outlineLevel="0" collapsed="false">
      <c r="A78" s="2" t="s">
        <v>379</v>
      </c>
      <c r="B78" s="2" t="s">
        <v>59</v>
      </c>
      <c r="C78" s="2" t="s">
        <v>323</v>
      </c>
      <c r="D78" s="2" t="s">
        <v>43</v>
      </c>
      <c r="E78" s="3" t="n">
        <v>46196</v>
      </c>
      <c r="F78" s="4" t="n">
        <v>1381270.56</v>
      </c>
      <c r="G78" s="4" t="n">
        <v>677750</v>
      </c>
      <c r="H78" s="2" t="s">
        <v>139</v>
      </c>
      <c r="I78" s="5" t="n">
        <f aca="false">IF(OR(F78="",G78=""),"",(F78-G78)/G78)</f>
        <v>1.03802369605312</v>
      </c>
      <c r="J78" s="2" t="s">
        <v>37</v>
      </c>
      <c r="K78" s="2"/>
      <c r="L78" s="2"/>
      <c r="M78" s="2"/>
      <c r="N78" s="2"/>
      <c r="O78" s="2" t="s">
        <v>38</v>
      </c>
      <c r="P78" s="6" t="s">
        <v>362</v>
      </c>
      <c r="Q78" s="7" t="s">
        <v>30</v>
      </c>
      <c r="R78" s="8" t="s">
        <v>31</v>
      </c>
    </row>
    <row r="79" customFormat="false" ht="15" hidden="false" customHeight="false" outlineLevel="0" collapsed="false">
      <c r="A79" s="2" t="s">
        <v>380</v>
      </c>
      <c r="B79" s="2" t="s">
        <v>381</v>
      </c>
      <c r="C79" s="2" t="s">
        <v>382</v>
      </c>
      <c r="D79" s="2" t="s">
        <v>383</v>
      </c>
      <c r="E79" s="3" t="n">
        <v>46185</v>
      </c>
      <c r="F79" s="4" t="n">
        <v>47600</v>
      </c>
      <c r="G79" s="4" t="n">
        <v>33400</v>
      </c>
      <c r="H79" s="2" t="s">
        <v>384</v>
      </c>
      <c r="I79" s="5" t="n">
        <f aca="false">IF(OR(F79="",G79=""),"",(F79-G79)/G79)</f>
        <v>0.425149700598802</v>
      </c>
      <c r="J79" s="2" t="s">
        <v>37</v>
      </c>
      <c r="K79" s="2"/>
      <c r="L79" s="2"/>
      <c r="M79" s="2"/>
      <c r="N79" s="2"/>
      <c r="O79" s="2" t="s">
        <v>38</v>
      </c>
      <c r="P79" s="6" t="s">
        <v>362</v>
      </c>
      <c r="Q79" s="7" t="s">
        <v>30</v>
      </c>
      <c r="R79" s="8" t="s">
        <v>31</v>
      </c>
    </row>
    <row r="80" customFormat="false" ht="15" hidden="false" customHeight="false" outlineLevel="0" collapsed="false">
      <c r="A80" s="2" t="s">
        <v>385</v>
      </c>
      <c r="B80" s="2" t="s">
        <v>33</v>
      </c>
      <c r="C80" s="2" t="s">
        <v>265</v>
      </c>
      <c r="D80" s="2" t="s">
        <v>266</v>
      </c>
      <c r="E80" s="3" t="n">
        <v>46156</v>
      </c>
      <c r="F80" s="4" t="n">
        <v>330000</v>
      </c>
      <c r="G80" s="4" t="n">
        <v>196400</v>
      </c>
      <c r="H80" s="2" t="s">
        <v>267</v>
      </c>
      <c r="I80" s="5" t="n">
        <f aca="false">IF(OR(F80="",G80=""),"",(F80-G80)/G80)</f>
        <v>0.680244399185336</v>
      </c>
      <c r="J80" s="2" t="s">
        <v>37</v>
      </c>
      <c r="K80" s="2"/>
      <c r="L80" s="2"/>
      <c r="M80" s="2"/>
      <c r="N80" s="2"/>
      <c r="O80" s="2" t="s">
        <v>38</v>
      </c>
      <c r="P80" s="6" t="s">
        <v>362</v>
      </c>
      <c r="Q80" s="7" t="s">
        <v>30</v>
      </c>
      <c r="R80" s="8" t="s">
        <v>31</v>
      </c>
    </row>
    <row r="81" customFormat="false" ht="15" hidden="false" customHeight="false" outlineLevel="0" collapsed="false">
      <c r="A81" s="2" t="s">
        <v>386</v>
      </c>
      <c r="B81" s="2" t="s">
        <v>33</v>
      </c>
      <c r="C81" s="2" t="s">
        <v>265</v>
      </c>
      <c r="D81" s="2" t="s">
        <v>266</v>
      </c>
      <c r="E81" s="3" t="n">
        <v>46156</v>
      </c>
      <c r="F81" s="4" t="n">
        <v>362300</v>
      </c>
      <c r="G81" s="4" t="n">
        <v>196400</v>
      </c>
      <c r="H81" s="2" t="s">
        <v>267</v>
      </c>
      <c r="I81" s="5" t="n">
        <f aca="false">IF(OR(F81="",G81=""),"",(F81-G81)/G81)</f>
        <v>0.844704684317719</v>
      </c>
      <c r="J81" s="2" t="s">
        <v>37</v>
      </c>
      <c r="K81" s="2"/>
      <c r="L81" s="2"/>
      <c r="M81" s="2"/>
      <c r="N81" s="2"/>
      <c r="O81" s="2" t="s">
        <v>38</v>
      </c>
      <c r="P81" s="6" t="s">
        <v>362</v>
      </c>
      <c r="Q81" s="7" t="s">
        <v>30</v>
      </c>
      <c r="R81" s="8" t="s">
        <v>31</v>
      </c>
    </row>
    <row r="82" customFormat="false" ht="15" hidden="false" customHeight="false" outlineLevel="0" collapsed="false">
      <c r="A82" s="2" t="s">
        <v>387</v>
      </c>
      <c r="B82" s="2" t="s">
        <v>33</v>
      </c>
      <c r="C82" s="2" t="s">
        <v>265</v>
      </c>
      <c r="D82" s="2" t="s">
        <v>266</v>
      </c>
      <c r="E82" s="3" t="n">
        <v>46156</v>
      </c>
      <c r="F82" s="4" t="n">
        <v>420600</v>
      </c>
      <c r="G82" s="4" t="n">
        <v>196400</v>
      </c>
      <c r="H82" s="2" t="s">
        <v>267</v>
      </c>
      <c r="I82" s="5" t="n">
        <f aca="false">IF(OR(F82="",G82=""),"",(F82-G82)/G82)</f>
        <v>1.14154786150713</v>
      </c>
      <c r="J82" s="2" t="s">
        <v>37</v>
      </c>
      <c r="K82" s="2"/>
      <c r="L82" s="2"/>
      <c r="M82" s="2"/>
      <c r="N82" s="2"/>
      <c r="O82" s="2" t="s">
        <v>38</v>
      </c>
      <c r="P82" s="6" t="s">
        <v>362</v>
      </c>
      <c r="Q82" s="7" t="s">
        <v>30</v>
      </c>
      <c r="R82" s="8" t="s">
        <v>31</v>
      </c>
    </row>
    <row r="83" customFormat="false" ht="15" hidden="false" customHeight="false" outlineLevel="0" collapsed="false">
      <c r="A83" s="2" t="s">
        <v>388</v>
      </c>
      <c r="B83" s="2" t="s">
        <v>33</v>
      </c>
      <c r="C83" s="2" t="s">
        <v>265</v>
      </c>
      <c r="D83" s="2" t="s">
        <v>266</v>
      </c>
      <c r="E83" s="3" t="n">
        <v>46156</v>
      </c>
      <c r="F83" s="4" t="n">
        <v>466000</v>
      </c>
      <c r="G83" s="4" t="n">
        <v>196400</v>
      </c>
      <c r="H83" s="2" t="s">
        <v>267</v>
      </c>
      <c r="I83" s="5" t="n">
        <f aca="false">IF(OR(F83="",G83=""),"",(F83-G83)/G83)</f>
        <v>1.37270875763747</v>
      </c>
      <c r="J83" s="2" t="s">
        <v>37</v>
      </c>
      <c r="K83" s="2"/>
      <c r="L83" s="2"/>
      <c r="M83" s="2"/>
      <c r="N83" s="2"/>
      <c r="O83" s="2" t="s">
        <v>38</v>
      </c>
      <c r="P83" s="6" t="s">
        <v>362</v>
      </c>
      <c r="Q83" s="7" t="s">
        <v>30</v>
      </c>
      <c r="R83" s="8" t="s">
        <v>31</v>
      </c>
    </row>
    <row r="84" customFormat="false" ht="15" hidden="false" customHeight="false" outlineLevel="0" collapsed="false">
      <c r="A84" s="2" t="s">
        <v>389</v>
      </c>
      <c r="B84" s="2" t="s">
        <v>33</v>
      </c>
      <c r="C84" s="2" t="s">
        <v>265</v>
      </c>
      <c r="D84" s="2" t="s">
        <v>266</v>
      </c>
      <c r="E84" s="3" t="n">
        <v>46156</v>
      </c>
      <c r="F84" s="4" t="n">
        <v>568777</v>
      </c>
      <c r="G84" s="4" t="n">
        <v>196400</v>
      </c>
      <c r="H84" s="2" t="s">
        <v>267</v>
      </c>
      <c r="I84" s="5" t="n">
        <f aca="false">IF(OR(F84="",G84=""),"",(F84-G84)/G84)</f>
        <v>1.89601323828921</v>
      </c>
      <c r="J84" s="2" t="s">
        <v>37</v>
      </c>
      <c r="K84" s="2"/>
      <c r="L84" s="2"/>
      <c r="M84" s="2"/>
      <c r="N84" s="2"/>
      <c r="O84" s="2" t="s">
        <v>38</v>
      </c>
      <c r="P84" s="6" t="s">
        <v>362</v>
      </c>
      <c r="Q84" s="7" t="s">
        <v>30</v>
      </c>
      <c r="R84" s="8" t="s">
        <v>31</v>
      </c>
    </row>
    <row r="85" customFormat="false" ht="15" hidden="false" customHeight="false" outlineLevel="0" collapsed="false">
      <c r="A85" s="2" t="s">
        <v>390</v>
      </c>
      <c r="B85" s="2" t="s">
        <v>66</v>
      </c>
      <c r="C85" s="2" t="s">
        <v>330</v>
      </c>
      <c r="D85" s="2" t="s">
        <v>331</v>
      </c>
      <c r="E85" s="3" t="n">
        <v>46065</v>
      </c>
      <c r="F85" s="4" t="n">
        <v>286180</v>
      </c>
      <c r="G85" s="4" t="n">
        <v>160078.5</v>
      </c>
      <c r="H85" s="2" t="s">
        <v>332</v>
      </c>
      <c r="I85" s="5" t="n">
        <f aca="false">IF(OR(F85="",G85=""),"",(F85-G85)/G85)</f>
        <v>0.787747886193336</v>
      </c>
      <c r="J85" s="2" t="s">
        <v>37</v>
      </c>
      <c r="K85" s="2"/>
      <c r="L85" s="2"/>
      <c r="M85" s="2"/>
      <c r="N85" s="2"/>
      <c r="O85" s="2" t="s">
        <v>38</v>
      </c>
      <c r="P85" s="6" t="s">
        <v>362</v>
      </c>
      <c r="Q85" s="7" t="s">
        <v>30</v>
      </c>
      <c r="R85" s="8" t="s">
        <v>31</v>
      </c>
    </row>
    <row r="86" customFormat="false" ht="15" hidden="false" customHeight="false" outlineLevel="0" collapsed="false">
      <c r="A86" s="2" t="s">
        <v>391</v>
      </c>
      <c r="B86" s="2" t="s">
        <v>392</v>
      </c>
      <c r="C86" s="2" t="s">
        <v>344</v>
      </c>
      <c r="D86" s="2" t="s">
        <v>345</v>
      </c>
      <c r="E86" s="3" t="n">
        <v>46056</v>
      </c>
      <c r="F86" s="4" t="n">
        <v>69046.2</v>
      </c>
      <c r="G86" s="4" t="n">
        <v>37000</v>
      </c>
      <c r="H86" s="2" t="s">
        <v>346</v>
      </c>
      <c r="I86" s="5" t="n">
        <f aca="false">IF(OR(F86="",G86=""),"",(F86-G86)/G86)</f>
        <v>0.866113513513513</v>
      </c>
      <c r="J86" s="2" t="s">
        <v>37</v>
      </c>
      <c r="K86" s="2"/>
      <c r="L86" s="2"/>
      <c r="M86" s="2"/>
      <c r="N86" s="2"/>
      <c r="O86" s="2" t="s">
        <v>38</v>
      </c>
      <c r="P86" s="6" t="s">
        <v>362</v>
      </c>
      <c r="Q86" s="7" t="s">
        <v>30</v>
      </c>
      <c r="R86" s="8" t="s">
        <v>31</v>
      </c>
    </row>
    <row r="87" customFormat="false" ht="15" hidden="false" customHeight="false" outlineLevel="0" collapsed="false">
      <c r="A87" s="2" t="s">
        <v>393</v>
      </c>
      <c r="B87" s="2" t="s">
        <v>394</v>
      </c>
      <c r="C87" s="2" t="s">
        <v>344</v>
      </c>
      <c r="D87" s="2" t="s">
        <v>345</v>
      </c>
      <c r="E87" s="3" t="n">
        <v>46056</v>
      </c>
      <c r="F87" s="4" t="n">
        <v>40758</v>
      </c>
      <c r="G87" s="4" t="n">
        <v>37000</v>
      </c>
      <c r="H87" s="2" t="s">
        <v>346</v>
      </c>
      <c r="I87" s="5" t="n">
        <f aca="false">IF(OR(F87="",G87=""),"",(F87-G87)/G87)</f>
        <v>0.101567567567568</v>
      </c>
      <c r="J87" s="2" t="s">
        <v>37</v>
      </c>
      <c r="K87" s="2"/>
      <c r="L87" s="2"/>
      <c r="M87" s="2"/>
      <c r="N87" s="2"/>
      <c r="O87" s="2" t="s">
        <v>38</v>
      </c>
      <c r="P87" s="6" t="s">
        <v>362</v>
      </c>
      <c r="Q87" s="7" t="s">
        <v>30</v>
      </c>
      <c r="R87" s="8" t="s">
        <v>31</v>
      </c>
    </row>
    <row r="88" customFormat="false" ht="15" hidden="false" customHeight="false" outlineLevel="0" collapsed="false">
      <c r="A88" s="2" t="s">
        <v>395</v>
      </c>
      <c r="B88" s="2" t="s">
        <v>396</v>
      </c>
      <c r="C88" s="2" t="s">
        <v>344</v>
      </c>
      <c r="D88" s="2" t="s">
        <v>345</v>
      </c>
      <c r="E88" s="3" t="n">
        <v>46056</v>
      </c>
      <c r="F88" s="4" t="n">
        <v>49950</v>
      </c>
      <c r="G88" s="4" t="n">
        <v>37000</v>
      </c>
      <c r="H88" s="2" t="s">
        <v>346</v>
      </c>
      <c r="I88" s="5" t="n">
        <f aca="false">IF(OR(F88="",G88=""),"",(F88-G88)/G88)</f>
        <v>0.35</v>
      </c>
      <c r="J88" s="2" t="s">
        <v>37</v>
      </c>
      <c r="K88" s="2"/>
      <c r="L88" s="2"/>
      <c r="M88" s="2"/>
      <c r="N88" s="2"/>
      <c r="O88" s="2" t="s">
        <v>38</v>
      </c>
      <c r="P88" s="6" t="s">
        <v>362</v>
      </c>
      <c r="Q88" s="7" t="s">
        <v>30</v>
      </c>
      <c r="R88" s="8" t="s">
        <v>31</v>
      </c>
    </row>
    <row r="89" customFormat="false" ht="15" hidden="false" customHeight="false" outlineLevel="0" collapsed="false">
      <c r="A89" s="2" t="s">
        <v>397</v>
      </c>
      <c r="B89" s="2" t="s">
        <v>398</v>
      </c>
      <c r="C89" s="2" t="s">
        <v>344</v>
      </c>
      <c r="D89" s="2" t="s">
        <v>345</v>
      </c>
      <c r="E89" s="3" t="n">
        <v>46056</v>
      </c>
      <c r="F89" s="4" t="n">
        <v>67914</v>
      </c>
      <c r="G89" s="4" t="n">
        <v>37000</v>
      </c>
      <c r="H89" s="2" t="s">
        <v>346</v>
      </c>
      <c r="I89" s="5" t="n">
        <f aca="false">IF(OR(F89="",G89=""),"",(F89-G89)/G89)</f>
        <v>0.835513513513514</v>
      </c>
      <c r="J89" s="2" t="s">
        <v>37</v>
      </c>
      <c r="K89" s="2"/>
      <c r="L89" s="2"/>
      <c r="M89" s="2"/>
      <c r="N89" s="2"/>
      <c r="O89" s="2" t="s">
        <v>38</v>
      </c>
      <c r="P89" s="6" t="s">
        <v>362</v>
      </c>
      <c r="Q89" s="7" t="s">
        <v>30</v>
      </c>
      <c r="R89" s="8" t="s">
        <v>31</v>
      </c>
    </row>
    <row r="90" customFormat="false" ht="15" hidden="false" customHeight="false" outlineLevel="0" collapsed="false">
      <c r="A90" s="2" t="s">
        <v>399</v>
      </c>
      <c r="B90" s="2" t="s">
        <v>400</v>
      </c>
      <c r="C90" s="2" t="s">
        <v>103</v>
      </c>
      <c r="D90" s="2" t="s">
        <v>21</v>
      </c>
      <c r="E90" s="3" t="n">
        <v>46246</v>
      </c>
      <c r="F90" s="4" t="n">
        <v>234500</v>
      </c>
      <c r="G90" s="4" t="n">
        <v>125000</v>
      </c>
      <c r="H90" s="2" t="s">
        <v>104</v>
      </c>
      <c r="I90" s="5" t="n">
        <f aca="false">IF(OR(F90="",G90=""),"",(F90-G90)/G90)</f>
        <v>0.876</v>
      </c>
      <c r="J90" s="2" t="s">
        <v>37</v>
      </c>
      <c r="K90" s="2"/>
      <c r="L90" s="2"/>
      <c r="M90" s="2"/>
      <c r="N90" s="2"/>
      <c r="O90" s="2" t="s">
        <v>38</v>
      </c>
      <c r="P90" s="6" t="s">
        <v>401</v>
      </c>
      <c r="Q90" s="7" t="s">
        <v>30</v>
      </c>
      <c r="R90" s="8" t="s">
        <v>31</v>
      </c>
    </row>
    <row r="92" customFormat="false" ht="15" hidden="false" customHeight="false" outlineLevel="0" collapsed="false">
      <c r="A92" s="9" t="s">
        <v>402</v>
      </c>
    </row>
  </sheetData>
  <autoFilter ref="A1:R90"/>
  <hyperlinks>
    <hyperlink ref="R2" r:id="rId1" display="Open bid tab"/>
    <hyperlink ref="R3" r:id="rId2" display="Open bid tab"/>
    <hyperlink ref="R4" r:id="rId3" display="Open bid tab"/>
    <hyperlink ref="R5" r:id="rId4" display="Open bid tab"/>
    <hyperlink ref="R6" r:id="rId5" display="Open bid tab"/>
    <hyperlink ref="R7" r:id="rId6" display="Open bid tab"/>
    <hyperlink ref="R8" r:id="rId7" display="Open bid tab"/>
    <hyperlink ref="R9" r:id="rId8" display="Open bid tab"/>
    <hyperlink ref="R10" r:id="rId9" display="Open bid tab"/>
    <hyperlink ref="R11" r:id="rId10" display="Open bid tab"/>
    <hyperlink ref="R12" r:id="rId11" display="Open bid tab"/>
    <hyperlink ref="R13" r:id="rId12" display="Open bid tab"/>
    <hyperlink ref="R14" r:id="rId13" display="Open bid tab"/>
    <hyperlink ref="R15" r:id="rId14" display="Open bid tab"/>
    <hyperlink ref="R16" r:id="rId15" display="Open bid tab"/>
    <hyperlink ref="R17" r:id="rId16" display="Open bid tab"/>
    <hyperlink ref="R18" r:id="rId17" display="Open bid tab"/>
    <hyperlink ref="R19" r:id="rId18" display="Open bid tab"/>
    <hyperlink ref="R20" r:id="rId19" display="Open bid tab"/>
    <hyperlink ref="R21" r:id="rId20" display="Open bid tab"/>
    <hyperlink ref="R22" r:id="rId21" display="Open bid tab"/>
    <hyperlink ref="R23" r:id="rId22" display="Open bid tab"/>
    <hyperlink ref="R24" r:id="rId23" display="Open bid tab"/>
    <hyperlink ref="R25" r:id="rId24" display="Open bid tab"/>
    <hyperlink ref="R26" r:id="rId25" display="Open bid tab"/>
    <hyperlink ref="R27" r:id="rId26" display="Open bid tab"/>
    <hyperlink ref="R28" r:id="rId27" display="Open bid tab"/>
    <hyperlink ref="R29" r:id="rId28" display="Open bid tab"/>
    <hyperlink ref="R30" r:id="rId29" display="Open bid tab"/>
    <hyperlink ref="R31" r:id="rId30" display="Open bid tab"/>
    <hyperlink ref="R32" r:id="rId31" display="Open bid tab"/>
    <hyperlink ref="R33" r:id="rId32" display="Open bid tab"/>
    <hyperlink ref="R34" r:id="rId33" display="Open bid tab"/>
    <hyperlink ref="R35" r:id="rId34" display="Open bid tab"/>
    <hyperlink ref="R36" r:id="rId35" display="Open bid tab"/>
    <hyperlink ref="R37" r:id="rId36" display="Open bid tab"/>
    <hyperlink ref="R38" r:id="rId37" display="Open bid tab"/>
    <hyperlink ref="R39" r:id="rId38" display="Open bid tab"/>
    <hyperlink ref="R40" r:id="rId39" display="Open bid tab"/>
    <hyperlink ref="R41" r:id="rId40" display="Open bid tab"/>
    <hyperlink ref="R42" r:id="rId41" display="Open bid tab"/>
    <hyperlink ref="R43" r:id="rId42" display="Open bid tab"/>
    <hyperlink ref="R44" r:id="rId43" display="Open bid tab"/>
    <hyperlink ref="R45" r:id="rId44" display="Open bid tab"/>
    <hyperlink ref="R46" r:id="rId45" display="Open bid tab"/>
    <hyperlink ref="R47" r:id="rId46" display="Open bid tab"/>
    <hyperlink ref="R48" r:id="rId47" display="Open bid tab"/>
    <hyperlink ref="R49" r:id="rId48" display="Open bid tab"/>
    <hyperlink ref="R50" r:id="rId49" display="Open bid tab"/>
    <hyperlink ref="R51" r:id="rId50" display="Open bid tab"/>
    <hyperlink ref="R52" r:id="rId51" display="Open bid tab"/>
    <hyperlink ref="R53" r:id="rId52" display="Open bid tab"/>
    <hyperlink ref="R54" r:id="rId53" display="Open bid tab"/>
    <hyperlink ref="R55" r:id="rId54" display="Open bid tab"/>
    <hyperlink ref="R56" r:id="rId55" display="Open bid tab"/>
    <hyperlink ref="R57" r:id="rId56" display="Open bid tab"/>
    <hyperlink ref="R58" r:id="rId57" display="Open bid tab"/>
    <hyperlink ref="R59" r:id="rId58" display="Open bid tab"/>
    <hyperlink ref="R60" r:id="rId59" display="Open bid tab"/>
    <hyperlink ref="R61" r:id="rId60" display="Open bid tab"/>
    <hyperlink ref="R62" r:id="rId61" display="Open bid tab"/>
    <hyperlink ref="R63" r:id="rId62" display="Open bid tab"/>
    <hyperlink ref="R64" r:id="rId63" display="Open bid tab"/>
    <hyperlink ref="R65" r:id="rId64" display="Open bid tab"/>
    <hyperlink ref="R66" r:id="rId65" display="Open bid tab"/>
    <hyperlink ref="R67" r:id="rId66" display="Open bid tab"/>
    <hyperlink ref="R68" r:id="rId67" display="Open bid tab"/>
    <hyperlink ref="R69" r:id="rId68" display="Open bid tab"/>
    <hyperlink ref="R70" r:id="rId69" display="Open bid tab"/>
    <hyperlink ref="R71" r:id="rId70" display="Open bid tab"/>
    <hyperlink ref="R72" r:id="rId71" display="Open bid tab"/>
    <hyperlink ref="R73" r:id="rId72" display="Open bid tab"/>
    <hyperlink ref="R74" r:id="rId73" display="Open bid tab"/>
    <hyperlink ref="R75" r:id="rId74" display="Open bid tab"/>
    <hyperlink ref="R76" r:id="rId75" display="Open bid tab"/>
    <hyperlink ref="R77" r:id="rId76" display="Open bid tab"/>
    <hyperlink ref="R78" r:id="rId77" display="Open bid tab"/>
    <hyperlink ref="R79" r:id="rId78" display="Open bid tab"/>
    <hyperlink ref="R80" r:id="rId79" display="Open bid tab"/>
    <hyperlink ref="R81" r:id="rId80" display="Open bid tab"/>
    <hyperlink ref="R82" r:id="rId81" display="Open bid tab"/>
    <hyperlink ref="R83" r:id="rId82" display="Open bid tab"/>
    <hyperlink ref="R84" r:id="rId83" display="Open bid tab"/>
    <hyperlink ref="R85" r:id="rId84" display="Open bid tab"/>
    <hyperlink ref="R86" r:id="rId85" display="Open bid tab"/>
    <hyperlink ref="R87" r:id="rId86" display="Open bid tab"/>
    <hyperlink ref="R88" r:id="rId87" display="Open bid tab"/>
    <hyperlink ref="R89" r:id="rId88" display="Open bid tab"/>
    <hyperlink ref="R90" r:id="rId89" display="Open bid ta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48"/>
    <col collapsed="false" customWidth="true" hidden="false" outlineLevel="0" max="8" min="8" style="0" width="14"/>
    <col collapsed="false" customWidth="true" hidden="false" outlineLevel="0" max="9" min="9" style="0" width="15"/>
  </cols>
  <sheetData>
    <row r="1" customFormat="false" ht="23.85" hidden="false" customHeight="false" outlineLevel="0" collapsed="false">
      <c r="A1" s="10" t="s">
        <v>403</v>
      </c>
      <c r="B1" s="10" t="s">
        <v>404</v>
      </c>
      <c r="C1" s="10" t="s">
        <v>405</v>
      </c>
      <c r="D1" s="10" t="s">
        <v>406</v>
      </c>
      <c r="E1" s="10" t="s">
        <v>407</v>
      </c>
      <c r="F1" s="10" t="s">
        <v>408</v>
      </c>
      <c r="G1" s="10" t="s">
        <v>409</v>
      </c>
      <c r="H1" s="10" t="s">
        <v>410</v>
      </c>
      <c r="I1" s="10" t="s">
        <v>16</v>
      </c>
    </row>
    <row r="2" customFormat="false" ht="23.85" hidden="false" customHeight="false" outlineLevel="0" collapsed="false">
      <c r="A2" s="6" t="s">
        <v>411</v>
      </c>
      <c r="B2" s="6" t="s">
        <v>412</v>
      </c>
      <c r="C2" s="6" t="s">
        <v>413</v>
      </c>
      <c r="D2" s="6" t="s">
        <v>414</v>
      </c>
      <c r="E2" s="6" t="s">
        <v>415</v>
      </c>
      <c r="F2" s="6" t="s">
        <v>416</v>
      </c>
      <c r="G2" s="6" t="s">
        <v>417</v>
      </c>
      <c r="H2" s="11" t="s">
        <v>418</v>
      </c>
      <c r="I2" s="12" t="s">
        <v>30</v>
      </c>
    </row>
    <row r="3" customFormat="false" ht="23.85" hidden="false" customHeight="false" outlineLevel="0" collapsed="false">
      <c r="A3" s="6" t="s">
        <v>419</v>
      </c>
      <c r="B3" s="6" t="s">
        <v>412</v>
      </c>
      <c r="C3" s="6" t="s">
        <v>420</v>
      </c>
      <c r="D3" s="6" t="s">
        <v>421</v>
      </c>
      <c r="E3" s="6" t="s">
        <v>422</v>
      </c>
      <c r="F3" s="6" t="s">
        <v>416</v>
      </c>
      <c r="G3" s="6" t="s">
        <v>423</v>
      </c>
      <c r="H3" s="11" t="s">
        <v>418</v>
      </c>
      <c r="I3" s="12" t="s">
        <v>30</v>
      </c>
    </row>
    <row r="4" customFormat="false" ht="23.85" hidden="false" customHeight="false" outlineLevel="0" collapsed="false">
      <c r="A4" s="6" t="s">
        <v>424</v>
      </c>
      <c r="B4" s="6" t="s">
        <v>412</v>
      </c>
      <c r="C4" s="6" t="s">
        <v>425</v>
      </c>
      <c r="D4" s="6" t="s">
        <v>426</v>
      </c>
      <c r="E4" s="6" t="s">
        <v>427</v>
      </c>
      <c r="F4" s="6" t="s">
        <v>428</v>
      </c>
      <c r="G4" s="6" t="s">
        <v>429</v>
      </c>
      <c r="H4" s="11" t="s">
        <v>418</v>
      </c>
      <c r="I4" s="12" t="s">
        <v>30</v>
      </c>
    </row>
    <row r="5" customFormat="false" ht="23.85" hidden="false" customHeight="false" outlineLevel="0" collapsed="false">
      <c r="A5" s="6" t="s">
        <v>430</v>
      </c>
      <c r="B5" s="6" t="s">
        <v>412</v>
      </c>
      <c r="C5" s="6" t="s">
        <v>431</v>
      </c>
      <c r="D5" s="6" t="s">
        <v>432</v>
      </c>
      <c r="E5" s="6" t="s">
        <v>433</v>
      </c>
      <c r="F5" s="6" t="s">
        <v>434</v>
      </c>
      <c r="G5" s="6" t="s">
        <v>435</v>
      </c>
      <c r="H5" s="11" t="s">
        <v>418</v>
      </c>
      <c r="I5" s="12" t="s">
        <v>30</v>
      </c>
    </row>
    <row r="6" customFormat="false" ht="23.85" hidden="false" customHeight="false" outlineLevel="0" collapsed="false">
      <c r="A6" s="6" t="s">
        <v>436</v>
      </c>
      <c r="B6" s="6" t="s">
        <v>412</v>
      </c>
      <c r="C6" s="6" t="s">
        <v>437</v>
      </c>
      <c r="D6" s="6" t="s">
        <v>438</v>
      </c>
      <c r="E6" s="6" t="s">
        <v>439</v>
      </c>
      <c r="F6" s="6" t="s">
        <v>440</v>
      </c>
      <c r="G6" s="6" t="s">
        <v>441</v>
      </c>
      <c r="H6" s="11" t="s">
        <v>418</v>
      </c>
      <c r="I6" s="12" t="s">
        <v>30</v>
      </c>
    </row>
    <row r="7" customFormat="false" ht="15" hidden="false" customHeight="false" outlineLevel="0" collapsed="false">
      <c r="A7" s="6" t="s">
        <v>442</v>
      </c>
      <c r="B7" s="6" t="s">
        <v>412</v>
      </c>
      <c r="C7" s="6" t="s">
        <v>443</v>
      </c>
      <c r="D7" s="6" t="s">
        <v>444</v>
      </c>
      <c r="E7" s="6" t="s">
        <v>445</v>
      </c>
      <c r="F7" s="6" t="s">
        <v>434</v>
      </c>
      <c r="G7" s="6" t="s">
        <v>446</v>
      </c>
      <c r="H7" s="11" t="s">
        <v>418</v>
      </c>
      <c r="I7" s="12" t="s">
        <v>30</v>
      </c>
    </row>
    <row r="8" customFormat="false" ht="23.85" hidden="false" customHeight="false" outlineLevel="0" collapsed="false">
      <c r="A8" s="6" t="s">
        <v>447</v>
      </c>
      <c r="B8" s="6" t="s">
        <v>412</v>
      </c>
      <c r="C8" s="6" t="s">
        <v>448</v>
      </c>
      <c r="D8" s="6" t="s">
        <v>449</v>
      </c>
      <c r="E8" s="6" t="s">
        <v>450</v>
      </c>
      <c r="F8" s="6" t="s">
        <v>451</v>
      </c>
      <c r="G8" s="6" t="s">
        <v>452</v>
      </c>
      <c r="H8" s="11" t="s">
        <v>418</v>
      </c>
      <c r="I8" s="12" t="s">
        <v>30</v>
      </c>
    </row>
    <row r="9" customFormat="false" ht="23.85" hidden="false" customHeight="false" outlineLevel="0" collapsed="false">
      <c r="A9" s="6" t="s">
        <v>453</v>
      </c>
      <c r="B9" s="6" t="s">
        <v>454</v>
      </c>
      <c r="C9" s="6" t="s">
        <v>455</v>
      </c>
      <c r="D9" s="6" t="s">
        <v>456</v>
      </c>
      <c r="E9" s="6" t="s">
        <v>457</v>
      </c>
      <c r="F9" s="6" t="s">
        <v>458</v>
      </c>
      <c r="G9" s="6" t="s">
        <v>459</v>
      </c>
      <c r="H9" s="11" t="s">
        <v>418</v>
      </c>
      <c r="I9" s="12" t="s">
        <v>30</v>
      </c>
    </row>
    <row r="10" customFormat="false" ht="23.85" hidden="false" customHeight="false" outlineLevel="0" collapsed="false">
      <c r="A10" s="6" t="s">
        <v>460</v>
      </c>
      <c r="B10" s="6" t="s">
        <v>461</v>
      </c>
      <c r="C10" s="6" t="s">
        <v>462</v>
      </c>
      <c r="D10" s="6" t="s">
        <v>463</v>
      </c>
      <c r="E10" s="6" t="s">
        <v>464</v>
      </c>
      <c r="F10" s="6" t="s">
        <v>458</v>
      </c>
      <c r="G10" s="6" t="s">
        <v>465</v>
      </c>
      <c r="H10" s="11" t="s">
        <v>418</v>
      </c>
      <c r="I10" s="12" t="s">
        <v>30</v>
      </c>
    </row>
    <row r="11" customFormat="false" ht="23.85" hidden="false" customHeight="false" outlineLevel="0" collapsed="false">
      <c r="A11" s="6" t="s">
        <v>466</v>
      </c>
      <c r="B11" s="6" t="s">
        <v>467</v>
      </c>
      <c r="C11" s="6" t="s">
        <v>468</v>
      </c>
      <c r="D11" s="6" t="s">
        <v>469</v>
      </c>
      <c r="E11" s="6" t="s">
        <v>470</v>
      </c>
      <c r="F11" s="6" t="s">
        <v>471</v>
      </c>
      <c r="G11" s="6" t="s">
        <v>472</v>
      </c>
      <c r="H11" s="11" t="s">
        <v>418</v>
      </c>
      <c r="I11" s="12" t="s">
        <v>30</v>
      </c>
    </row>
    <row r="12" customFormat="false" ht="23.85" hidden="false" customHeight="false" outlineLevel="0" collapsed="false">
      <c r="A12" s="6" t="s">
        <v>473</v>
      </c>
      <c r="B12" s="6" t="s">
        <v>467</v>
      </c>
      <c r="C12" s="6" t="s">
        <v>474</v>
      </c>
      <c r="D12" s="6" t="s">
        <v>475</v>
      </c>
      <c r="E12" s="6" t="s">
        <v>476</v>
      </c>
      <c r="F12" s="6" t="s">
        <v>477</v>
      </c>
      <c r="G12" s="6" t="s">
        <v>478</v>
      </c>
      <c r="H12" s="11" t="s">
        <v>418</v>
      </c>
      <c r="I12" s="12" t="s">
        <v>30</v>
      </c>
    </row>
    <row r="13" customFormat="false" ht="15" hidden="false" customHeight="false" outlineLevel="0" collapsed="false">
      <c r="A13" s="6" t="s">
        <v>479</v>
      </c>
      <c r="B13" s="6" t="s">
        <v>467</v>
      </c>
      <c r="C13" s="6" t="s">
        <v>480</v>
      </c>
      <c r="D13" s="6" t="s">
        <v>481</v>
      </c>
      <c r="E13" s="6" t="s">
        <v>482</v>
      </c>
      <c r="F13" s="6" t="s">
        <v>477</v>
      </c>
      <c r="G13" s="6" t="s">
        <v>483</v>
      </c>
      <c r="H13" s="11" t="s">
        <v>418</v>
      </c>
      <c r="I13" s="12" t="s">
        <v>30</v>
      </c>
    </row>
    <row r="14" customFormat="false" ht="15" hidden="false" customHeight="false" outlineLevel="0" collapsed="false">
      <c r="A14" s="6" t="s">
        <v>484</v>
      </c>
      <c r="B14" s="6" t="s">
        <v>485</v>
      </c>
      <c r="C14" s="6" t="s">
        <v>486</v>
      </c>
      <c r="D14" s="6" t="s">
        <v>487</v>
      </c>
      <c r="E14" s="6" t="s">
        <v>488</v>
      </c>
      <c r="F14" s="6" t="s">
        <v>477</v>
      </c>
      <c r="G14" s="6" t="s">
        <v>489</v>
      </c>
      <c r="H14" s="11" t="s">
        <v>418</v>
      </c>
      <c r="I14" s="12" t="s">
        <v>30</v>
      </c>
    </row>
    <row r="15" customFormat="false" ht="15" hidden="false" customHeight="false" outlineLevel="0" collapsed="false">
      <c r="A15" s="6" t="s">
        <v>490</v>
      </c>
      <c r="B15" s="6" t="s">
        <v>491</v>
      </c>
      <c r="C15" s="6" t="s">
        <v>492</v>
      </c>
      <c r="D15" s="6" t="s">
        <v>493</v>
      </c>
      <c r="E15" s="6" t="s">
        <v>494</v>
      </c>
      <c r="F15" s="6" t="s">
        <v>458</v>
      </c>
      <c r="G15" s="6" t="s">
        <v>495</v>
      </c>
      <c r="H15" s="11" t="s">
        <v>418</v>
      </c>
      <c r="I15" s="12" t="s">
        <v>30</v>
      </c>
    </row>
    <row r="16" customFormat="false" ht="23.85" hidden="false" customHeight="false" outlineLevel="0" collapsed="false">
      <c r="A16" s="6" t="s">
        <v>496</v>
      </c>
      <c r="B16" s="6" t="s">
        <v>497</v>
      </c>
      <c r="C16" s="6" t="s">
        <v>498</v>
      </c>
      <c r="D16" s="6" t="s">
        <v>499</v>
      </c>
      <c r="E16" s="6" t="s">
        <v>500</v>
      </c>
      <c r="F16" s="6" t="s">
        <v>434</v>
      </c>
      <c r="G16" s="6" t="s">
        <v>501</v>
      </c>
      <c r="H16" s="11" t="s">
        <v>418</v>
      </c>
      <c r="I16" s="12" t="s">
        <v>30</v>
      </c>
    </row>
    <row r="17" customFormat="false" ht="15" hidden="false" customHeight="false" outlineLevel="0" collapsed="false">
      <c r="A17" s="6" t="s">
        <v>502</v>
      </c>
      <c r="B17" s="6" t="s">
        <v>497</v>
      </c>
      <c r="C17" s="6" t="s">
        <v>503</v>
      </c>
      <c r="D17" s="6" t="s">
        <v>504</v>
      </c>
      <c r="E17" s="6" t="s">
        <v>505</v>
      </c>
      <c r="F17" s="6" t="s">
        <v>434</v>
      </c>
      <c r="G17" s="6" t="s">
        <v>506</v>
      </c>
      <c r="H17" s="11" t="s">
        <v>418</v>
      </c>
      <c r="I17" s="12" t="s">
        <v>30</v>
      </c>
    </row>
    <row r="18" customFormat="false" ht="23.85" hidden="false" customHeight="false" outlineLevel="0" collapsed="false">
      <c r="A18" s="6" t="s">
        <v>507</v>
      </c>
      <c r="B18" s="6" t="s">
        <v>508</v>
      </c>
      <c r="C18" s="6" t="s">
        <v>509</v>
      </c>
      <c r="D18" s="6" t="s">
        <v>510</v>
      </c>
      <c r="E18" s="6" t="s">
        <v>511</v>
      </c>
      <c r="F18" s="6" t="s">
        <v>434</v>
      </c>
      <c r="G18" s="6" t="s">
        <v>512</v>
      </c>
      <c r="H18" s="11" t="s">
        <v>418</v>
      </c>
      <c r="I18" s="12" t="s">
        <v>30</v>
      </c>
    </row>
    <row r="19" customFormat="false" ht="23.85" hidden="false" customHeight="false" outlineLevel="0" collapsed="false">
      <c r="A19" s="6" t="s">
        <v>513</v>
      </c>
      <c r="B19" s="6" t="s">
        <v>514</v>
      </c>
      <c r="C19" s="6" t="s">
        <v>515</v>
      </c>
      <c r="D19" s="6" t="s">
        <v>516</v>
      </c>
      <c r="E19" s="6" t="s">
        <v>517</v>
      </c>
      <c r="F19" s="6" t="s">
        <v>518</v>
      </c>
      <c r="G19" s="6" t="s">
        <v>519</v>
      </c>
      <c r="H19" s="11" t="s">
        <v>418</v>
      </c>
      <c r="I19" s="12" t="s">
        <v>30</v>
      </c>
    </row>
    <row r="20" customFormat="false" ht="23.85" hidden="false" customHeight="false" outlineLevel="0" collapsed="false">
      <c r="A20" s="6" t="s">
        <v>520</v>
      </c>
      <c r="B20" s="6" t="s">
        <v>521</v>
      </c>
      <c r="C20" s="6" t="s">
        <v>522</v>
      </c>
      <c r="D20" s="6" t="s">
        <v>523</v>
      </c>
      <c r="E20" s="6" t="s">
        <v>524</v>
      </c>
      <c r="F20" s="6" t="s">
        <v>525</v>
      </c>
      <c r="G20" s="6" t="s">
        <v>526</v>
      </c>
      <c r="H20" s="11" t="s">
        <v>418</v>
      </c>
      <c r="I20" s="12" t="s">
        <v>30</v>
      </c>
    </row>
    <row r="21" customFormat="false" ht="23.85" hidden="false" customHeight="false" outlineLevel="0" collapsed="false">
      <c r="A21" s="6" t="s">
        <v>527</v>
      </c>
      <c r="B21" s="6" t="s">
        <v>528</v>
      </c>
      <c r="C21" s="6" t="s">
        <v>529</v>
      </c>
      <c r="D21" s="6" t="s">
        <v>530</v>
      </c>
      <c r="E21" s="6" t="s">
        <v>531</v>
      </c>
      <c r="F21" s="6" t="s">
        <v>532</v>
      </c>
      <c r="G21" s="6" t="s">
        <v>533</v>
      </c>
      <c r="H21" s="11" t="s">
        <v>418</v>
      </c>
      <c r="I21" s="12" t="s">
        <v>30</v>
      </c>
    </row>
    <row r="22" customFormat="false" ht="23.85" hidden="false" customHeight="false" outlineLevel="0" collapsed="false">
      <c r="A22" s="6" t="s">
        <v>162</v>
      </c>
      <c r="B22" s="6" t="s">
        <v>528</v>
      </c>
      <c r="C22" s="6" t="s">
        <v>534</v>
      </c>
      <c r="D22" s="6" t="s">
        <v>535</v>
      </c>
      <c r="E22" s="6" t="s">
        <v>376</v>
      </c>
      <c r="F22" s="6" t="s">
        <v>536</v>
      </c>
      <c r="G22" s="6" t="s">
        <v>537</v>
      </c>
      <c r="H22" s="11" t="s">
        <v>418</v>
      </c>
      <c r="I22" s="12" t="s">
        <v>30</v>
      </c>
    </row>
    <row r="23" customFormat="false" ht="23.85" hidden="false" customHeight="false" outlineLevel="0" collapsed="false">
      <c r="A23" s="6" t="s">
        <v>53</v>
      </c>
      <c r="B23" s="6" t="s">
        <v>538</v>
      </c>
      <c r="C23" s="6" t="s">
        <v>539</v>
      </c>
      <c r="D23" s="6" t="s">
        <v>540</v>
      </c>
      <c r="E23" s="6" t="s">
        <v>194</v>
      </c>
      <c r="F23" s="6" t="s">
        <v>536</v>
      </c>
      <c r="G23" s="6" t="s">
        <v>541</v>
      </c>
      <c r="H23" s="11" t="s">
        <v>418</v>
      </c>
      <c r="I23" s="12" t="s">
        <v>30</v>
      </c>
    </row>
    <row r="24" customFormat="false" ht="23.85" hidden="false" customHeight="false" outlineLevel="0" collapsed="false">
      <c r="A24" s="6" t="s">
        <v>542</v>
      </c>
      <c r="B24" s="6" t="s">
        <v>538</v>
      </c>
      <c r="C24" s="6" t="s">
        <v>543</v>
      </c>
      <c r="D24" s="6" t="s">
        <v>544</v>
      </c>
      <c r="E24" s="6" t="s">
        <v>545</v>
      </c>
      <c r="F24" s="6" t="s">
        <v>532</v>
      </c>
      <c r="G24" s="6" t="s">
        <v>546</v>
      </c>
      <c r="H24" s="11" t="s">
        <v>418</v>
      </c>
      <c r="I24" s="12" t="s">
        <v>30</v>
      </c>
    </row>
    <row r="25" customFormat="false" ht="23.85" hidden="false" customHeight="false" outlineLevel="0" collapsed="false">
      <c r="A25" s="6" t="s">
        <v>95</v>
      </c>
      <c r="B25" s="6" t="s">
        <v>538</v>
      </c>
      <c r="C25" s="6" t="s">
        <v>547</v>
      </c>
      <c r="D25" s="6" t="s">
        <v>548</v>
      </c>
      <c r="E25" s="6" t="s">
        <v>281</v>
      </c>
      <c r="F25" s="6" t="s">
        <v>536</v>
      </c>
      <c r="G25" s="6" t="s">
        <v>549</v>
      </c>
      <c r="H25" s="11" t="s">
        <v>418</v>
      </c>
      <c r="I25" s="12" t="s">
        <v>30</v>
      </c>
    </row>
    <row r="26" customFormat="false" ht="15" hidden="false" customHeight="false" outlineLevel="0" collapsed="false">
      <c r="A26" s="6" t="s">
        <v>36</v>
      </c>
      <c r="B26" s="6" t="s">
        <v>538</v>
      </c>
      <c r="C26" s="6" t="s">
        <v>550</v>
      </c>
      <c r="D26" s="6" t="s">
        <v>551</v>
      </c>
      <c r="E26" s="6" t="s">
        <v>33</v>
      </c>
      <c r="F26" s="6" t="s">
        <v>536</v>
      </c>
      <c r="G26" s="6" t="s">
        <v>552</v>
      </c>
      <c r="H26" s="11" t="s">
        <v>418</v>
      </c>
      <c r="I26" s="12" t="s">
        <v>30</v>
      </c>
    </row>
    <row r="27" customFormat="false" ht="15" hidden="false" customHeight="false" outlineLevel="0" collapsed="false">
      <c r="A27" s="6" t="s">
        <v>303</v>
      </c>
      <c r="B27" s="6" t="s">
        <v>538</v>
      </c>
      <c r="C27" s="6" t="s">
        <v>553</v>
      </c>
      <c r="D27" s="6" t="s">
        <v>554</v>
      </c>
      <c r="E27" s="6" t="s">
        <v>300</v>
      </c>
      <c r="F27" s="6" t="s">
        <v>536</v>
      </c>
      <c r="G27" s="6" t="s">
        <v>555</v>
      </c>
      <c r="H27" s="11" t="s">
        <v>418</v>
      </c>
      <c r="I27" s="12" t="s">
        <v>30</v>
      </c>
    </row>
    <row r="28" customFormat="false" ht="15" hidden="false" customHeight="false" outlineLevel="0" collapsed="false">
      <c r="A28" s="6" t="s">
        <v>104</v>
      </c>
      <c r="B28" s="6" t="s">
        <v>538</v>
      </c>
      <c r="C28" s="6" t="s">
        <v>556</v>
      </c>
      <c r="D28" s="6" t="s">
        <v>557</v>
      </c>
      <c r="E28" s="6" t="s">
        <v>558</v>
      </c>
      <c r="F28" s="6" t="s">
        <v>37</v>
      </c>
      <c r="G28" s="6" t="s">
        <v>559</v>
      </c>
      <c r="H28" s="11" t="s">
        <v>418</v>
      </c>
      <c r="I28" s="12" t="s">
        <v>30</v>
      </c>
    </row>
    <row r="29" customFormat="false" ht="15" hidden="false" customHeight="false" outlineLevel="0" collapsed="false">
      <c r="A29" s="6" t="s">
        <v>144</v>
      </c>
      <c r="B29" s="6" t="s">
        <v>538</v>
      </c>
      <c r="C29" s="6" t="s">
        <v>560</v>
      </c>
      <c r="D29" s="6" t="s">
        <v>561</v>
      </c>
      <c r="E29" s="6" t="s">
        <v>112</v>
      </c>
      <c r="F29" s="6" t="s">
        <v>536</v>
      </c>
      <c r="G29" s="6" t="s">
        <v>562</v>
      </c>
      <c r="H29" s="11" t="s">
        <v>418</v>
      </c>
      <c r="I29" s="12" t="s">
        <v>30</v>
      </c>
    </row>
    <row r="30" customFormat="false" ht="23.85" hidden="false" customHeight="false" outlineLevel="0" collapsed="false">
      <c r="A30" s="6" t="s">
        <v>128</v>
      </c>
      <c r="B30" s="6" t="s">
        <v>538</v>
      </c>
      <c r="C30" s="6" t="s">
        <v>563</v>
      </c>
      <c r="D30" s="6" t="s">
        <v>564</v>
      </c>
      <c r="E30" s="6" t="s">
        <v>59</v>
      </c>
      <c r="F30" s="6" t="s">
        <v>37</v>
      </c>
      <c r="G30" s="6" t="s">
        <v>565</v>
      </c>
      <c r="H30" s="11" t="s">
        <v>418</v>
      </c>
      <c r="I30" s="12" t="s">
        <v>30</v>
      </c>
    </row>
    <row r="31" customFormat="false" ht="15" hidden="false" customHeight="false" outlineLevel="0" collapsed="false">
      <c r="A31" s="6" t="s">
        <v>190</v>
      </c>
      <c r="B31" s="6" t="s">
        <v>538</v>
      </c>
      <c r="C31" s="6" t="s">
        <v>566</v>
      </c>
      <c r="D31" s="6" t="s">
        <v>567</v>
      </c>
      <c r="E31" s="6" t="s">
        <v>192</v>
      </c>
      <c r="F31" s="6" t="s">
        <v>37</v>
      </c>
      <c r="G31" s="6" t="s">
        <v>568</v>
      </c>
      <c r="H31" s="11" t="s">
        <v>418</v>
      </c>
      <c r="I31" s="12" t="s">
        <v>30</v>
      </c>
    </row>
  </sheetData>
  <hyperlinks>
    <hyperlink ref="H2" r:id="rId1" display="Open source"/>
    <hyperlink ref="H3" r:id="rId2" display="Open source"/>
    <hyperlink ref="H4" r:id="rId3" display="Open source"/>
    <hyperlink ref="H5" r:id="rId4" display="Open source"/>
    <hyperlink ref="H6" r:id="rId5" display="Open source"/>
    <hyperlink ref="H7" r:id="rId6" display="Open source"/>
    <hyperlink ref="H8" r:id="rId7" display="Open source"/>
    <hyperlink ref="H9" r:id="rId8" display="Open source"/>
    <hyperlink ref="H10" r:id="rId9" display="Open source"/>
    <hyperlink ref="H11" r:id="rId10" display="Open source"/>
    <hyperlink ref="H12" r:id="rId11" display="Open source"/>
    <hyperlink ref="H13" r:id="rId12" display="Open source"/>
    <hyperlink ref="H14" r:id="rId13" display="Open source"/>
    <hyperlink ref="H15" r:id="rId14" display="Open source"/>
    <hyperlink ref="H16" r:id="rId15" display="Open source"/>
    <hyperlink ref="H17" r:id="rId16" display="Open source"/>
    <hyperlink ref="H18" r:id="rId17" display="Open source"/>
    <hyperlink ref="H19" r:id="rId18" display="Open source"/>
    <hyperlink ref="H20" r:id="rId19" display="Open source"/>
    <hyperlink ref="H21" r:id="rId20" display="Open source"/>
    <hyperlink ref="H22" r:id="rId21" display="Open source"/>
    <hyperlink ref="H23" r:id="rId22" display="Open source"/>
    <hyperlink ref="H24" r:id="rId23" display="Open source"/>
    <hyperlink ref="H25" r:id="rId24" display="Open source"/>
    <hyperlink ref="H26" r:id="rId25" display="Open source"/>
    <hyperlink ref="H27" r:id="rId26" display="Open source"/>
    <hyperlink ref="H28" r:id="rId27" display="Open source"/>
    <hyperlink ref="H29" r:id="rId28" display="Open source"/>
    <hyperlink ref="H30" r:id="rId29" display="Open source"/>
    <hyperlink ref="H31" r:id="rId30" display="Open sourc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3" t="s">
        <v>569</v>
      </c>
    </row>
    <row r="2" customFormat="false" ht="15" hidden="false" customHeight="false" outlineLevel="0" collapsed="false">
      <c r="A2" s="2" t="s">
        <v>570</v>
      </c>
    </row>
    <row r="3" customFormat="false" ht="15" hidden="false" customHeight="false" outlineLevel="0" collapsed="false">
      <c r="A3" s="2" t="s">
        <v>571</v>
      </c>
    </row>
    <row r="4" customFormat="false" ht="15" hidden="false" customHeight="false" outlineLevel="0" collapsed="false">
      <c r="A4" s="2" t="s">
        <v>572</v>
      </c>
    </row>
    <row r="5" customFormat="false" ht="15" hidden="false" customHeight="false" outlineLevel="0" collapsed="false">
      <c r="A5" s="2" t="s">
        <v>573</v>
      </c>
    </row>
    <row r="6" customFormat="false" ht="15" hidden="false" customHeight="false" outlineLevel="0" collapsed="false">
      <c r="A6" s="2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2026-10-30T12:07:06Z</dcterms:created>
  <dc:creator>openpyxl</dc:creator>
  <dc:description/>
  <dc:language>en-US</dc:language>
  <cp:lastModifiedBy/>
  <dcterms:modified xsi:type="dcterms:W3CDTF">2026-10-30T12:07:06Z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