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llers (lost bids)" sheetId="1" state="visible" r:id="rId3"/>
    <sheet name="Verify emails" sheetId="2" state="visible" r:id="rId4"/>
    <sheet name="Newest signals (council)" sheetId="3" state="visible" r:id="rId5"/>
    <sheet name="HSIP funded (Cycle 12)" sheetId="4" state="visible" r:id="rId6"/>
    <sheet name="Read me" sheetId="5" state="visible" r:id="rId7"/>
  </sheets>
  <definedNames>
    <definedName function="false" hidden="true" localSheetId="3" name="_xlnm._FilterDatabase" vbProcedure="false">'HSIP funded (Cycle 12)'!$A$1:$N$229</definedName>
    <definedName function="false" hidden="true" localSheetId="2" name="_xlnm._FilterDatabase" vbProcedure="false">'Newest signals (council)'!$A$1:$O$86</definedName>
    <definedName function="false" hidden="true" localSheetId="0" name="_xlnm._FilterDatabase" vbProcedure="false">'Sellers (lost bids)'!$A$1:$Q$35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<sst xmlns="http://schemas.openxmlformats.org/spreadsheetml/2006/main" count="5198" uniqueCount="1741">
  <si>
    <t xml:space="preserve">Signal strength</t>
  </si>
  <si>
    <t xml:space="preserve">Losing company</t>
  </si>
  <si>
    <t xml:space="preserve">Location</t>
  </si>
  <si>
    <t xml:space="preserve">Job they lost</t>
  </si>
  <si>
    <t xml:space="preserve">Buyer</t>
  </si>
  <si>
    <t xml:space="preserve">Bid date</t>
  </si>
  <si>
    <t xml:space="preserve">Their bid ($)</t>
  </si>
  <si>
    <t xml:space="preserve">Winning bid ($)</t>
  </si>
  <si>
    <t xml:space="preserve">Winner</t>
  </si>
  <si>
    <t xml:space="preserve">Gap vs winner</t>
  </si>
  <si>
    <t xml:space="preserve">Email</t>
  </si>
  <si>
    <t xml:space="preserve">Email source</t>
  </si>
  <si>
    <t xml:space="preserve">Phone</t>
  </si>
  <si>
    <t xml:space="preserve">Email confidence</t>
  </si>
  <si>
    <t xml:space="preserve">Reasoning</t>
  </si>
  <si>
    <t xml:space="preserve">Outreach status</t>
  </si>
  <si>
    <t xml:space="preserve">Bid record</t>
  </si>
  <si>
    <t xml:space="preserve">Strong</t>
  </si>
  <si>
    <t xml:space="preserve">Select Electric, Inc.</t>
  </si>
  <si>
    <t xml:space="preserve">Anaheim, CA</t>
  </si>
  <si>
    <t xml:space="preserve">Traffic Signal Installation + Fiber, Walnut Ave &amp; Orange St (Bid 26-27.09, re-bid)</t>
  </si>
  <si>
    <t xml:space="preserve">City of Orange</t>
  </si>
  <si>
    <t xml:space="preserve">Calpromax Engineering, Inc.</t>
  </si>
  <si>
    <t xml:space="preserve">estimating@selectelectricinc.com</t>
  </si>
  <si>
    <t xml:space="preserve">Company website (selectelectricinc.com)</t>
  </si>
  <si>
    <t xml:space="preserve">High</t>
  </si>
  <si>
    <t xml:space="preserve">Signals specialist; lost by 3.2%; lost 3 jobs on this list; 15 days ago.</t>
  </si>
  <si>
    <t xml:space="preserve">Not contacted</t>
  </si>
  <si>
    <t xml:space="preserve">Open record</t>
  </si>
  <si>
    <t xml:space="preserve">Alfaro Communications Construction, Inc.</t>
  </si>
  <si>
    <t xml:space="preserve">Compton, CA</t>
  </si>
  <si>
    <t xml:space="preserve">No public email found - President Hugo Alfaro, 15614 S Atlantic Ave, Compton</t>
  </si>
  <si>
    <t xml:space="preserve">Address only</t>
  </si>
  <si>
    <t xml:space="preserve">Signals specialist; lost by 4.8%; lost 2 jobs on this list; 15 days ago.</t>
  </si>
  <si>
    <t xml:space="preserve">DBX, Inc.</t>
  </si>
  <si>
    <t xml:space="preserve">Temecula, CA</t>
  </si>
  <si>
    <t xml:space="preserve">No public email found (CSLB #240547)</t>
  </si>
  <si>
    <t xml:space="preserve">None yet</t>
  </si>
  <si>
    <t xml:space="preserve">Signals specialist; lost by 10.2%; lost 2 jobs on this list; 15 days ago.</t>
  </si>
  <si>
    <t xml:space="preserve">Elecnor Belco Electric, Inc.</t>
  </si>
  <si>
    <t xml:space="preserve">Chino, CA</t>
  </si>
  <si>
    <t xml:space="preserve">No public email found</t>
  </si>
  <si>
    <t xml:space="preserve">(909) 993-5470</t>
  </si>
  <si>
    <t xml:space="preserve">Phone only</t>
  </si>
  <si>
    <t xml:space="preserve">Signals specialist; lost by 11.1%; lost 3 jobs on this list; 15 days ago.</t>
  </si>
  <si>
    <t xml:space="preserve">Traffic Signal Installation + Fiber, Walnut Ave &amp; Orange St (first round - ALL bids rejected)</t>
  </si>
  <si>
    <t xml:space="preserve">None - all bids rejected, re-bid</t>
  </si>
  <si>
    <t xml:space="preserve">Signals specialist; all bids rejected - had to re-bid; lost 2 jobs on this list; 57 days ago.</t>
  </si>
  <si>
    <t xml:space="preserve">Signals specialist; all bids rejected - had to re-bid; lost 3 jobs on this list; 57 days ago.</t>
  </si>
  <si>
    <t xml:space="preserve">Servitek Electric, Inc.</t>
  </si>
  <si>
    <t xml:space="preserve">Norwalk, CA</t>
  </si>
  <si>
    <t xml:space="preserve">info@servitekelectric.com</t>
  </si>
  <si>
    <t xml:space="preserve">Company website (servitekelectric.com)</t>
  </si>
  <si>
    <t xml:space="preserve">PTM General Engineering Services, Inc.</t>
  </si>
  <si>
    <t xml:space="preserve">Riverside, CA</t>
  </si>
  <si>
    <t xml:space="preserve">(951) 710-1000</t>
  </si>
  <si>
    <t xml:space="preserve">Signals specialist; all bids rejected - had to re-bid; 57 days ago.</t>
  </si>
  <si>
    <t xml:space="preserve">Bear Electrical Solutions</t>
  </si>
  <si>
    <t xml:space="preserve">Alviso, CA</t>
  </si>
  <si>
    <t xml:space="preserve">HSIP Cycle 12 Citywide Traffic Signal Controller Replacement, Phase 2 (Bid 8260)</t>
  </si>
  <si>
    <t xml:space="preserve">City of Riverside</t>
  </si>
  <si>
    <t xml:space="preserve">Crosstown Electrical &amp; Data, Inc.</t>
  </si>
  <si>
    <t xml:space="preserve">estimating@bear-electrical.com</t>
  </si>
  <si>
    <t xml:space="preserve">Berkeley planholder list, Sep 2024 (Robert Asuncion)</t>
  </si>
  <si>
    <t xml:space="preserve">(408) 449-5178</t>
  </si>
  <si>
    <t xml:space="preserve">Medium</t>
  </si>
  <si>
    <t xml:space="preserve">Signals specialist; lost by 7.8%; 79 days ago.</t>
  </si>
  <si>
    <t xml:space="preserve">Signals specialist; lost by 8.3%; lost 3 jobs on this list; 79 days ago.</t>
  </si>
  <si>
    <t xml:space="preserve">Signals specialist; lost by 10.8%; lost 3 jobs on this list; 79 days ago.</t>
  </si>
  <si>
    <t xml:space="preserve">Signals specialist; lost by 38.1%; lost 2 jobs on this list; 79 days ago.</t>
  </si>
  <si>
    <t xml:space="preserve">Mercer-Fraser Company</t>
  </si>
  <si>
    <t xml:space="preserve">Eureka, CA</t>
  </si>
  <si>
    <t xml:space="preserve">HSIP Hammond and Mid-Town Trail Crossings (Contract 594187)</t>
  </si>
  <si>
    <t xml:space="preserve">Humboldt County</t>
  </si>
  <si>
    <t xml:space="preserve">Hooven &amp; Co., Inc.</t>
  </si>
  <si>
    <t xml:space="preserve">Not searched yet</t>
  </si>
  <si>
    <t xml:space="preserve">Crossings/beacons specialist; lost by 4.8%; 106 days ago.</t>
  </si>
  <si>
    <t xml:space="preserve">GR Sundberg, Inc.</t>
  </si>
  <si>
    <t xml:space="preserve">Arcata, CA</t>
  </si>
  <si>
    <t xml:space="preserve">grs@grsinc.biz</t>
  </si>
  <si>
    <t xml:space="preserve">Cal Poly Humboldt pre-bid attendance sheet (Amy Harris)</t>
  </si>
  <si>
    <t xml:space="preserve">Crossings/beacons specialist; lost by 9.1%; 106 days ago.</t>
  </si>
  <si>
    <t xml:space="preserve">Polo Engineering, Inc.</t>
  </si>
  <si>
    <t xml:space="preserve">Castaic, CA</t>
  </si>
  <si>
    <t xml:space="preserve">Signals specialist; lost by 32.1%; 79 days ago.</t>
  </si>
  <si>
    <t xml:space="preserve">Zara Construction, Inc. (low but non-responsive)</t>
  </si>
  <si>
    <t xml:space="preserve">CA</t>
  </si>
  <si>
    <t xml:space="preserve">HSIP Cycle 11 Silverado Trail Intersection Improvements (RDS 22-26)</t>
  </si>
  <si>
    <t xml:space="preserve">Napa County</t>
  </si>
  <si>
    <t xml:space="preserve">FBD Vanguard Construction, Inc.</t>
  </si>
  <si>
    <t xml:space="preserve">info@zaraconstruction.com</t>
  </si>
  <si>
    <t xml:space="preserve">zaraconstruction.com - confirm it is the CA firm</t>
  </si>
  <si>
    <t xml:space="preserve">Low</t>
  </si>
  <si>
    <t xml:space="preserve">General road contractor (subs out striping/signals); lost by -10.5%; 113 days ago.</t>
  </si>
  <si>
    <t xml:space="preserve">Mission Constructors Inc.</t>
  </si>
  <si>
    <t xml:space="preserve">info@missionconstructors.com</t>
  </si>
  <si>
    <t xml:space="preserve">Company website</t>
  </si>
  <si>
    <t xml:space="preserve">General road contractor (subs out striping/signals); lost by 4.5%; 113 days ago.</t>
  </si>
  <si>
    <t xml:space="preserve">Darren Taylor Construction, Inc.</t>
  </si>
  <si>
    <t xml:space="preserve">Anderson, CA</t>
  </si>
  <si>
    <t xml:space="preserve">HSIP Edgelines on Indian Reservation Road Systems (Contract 223001)</t>
  </si>
  <si>
    <t xml:space="preserve">Striping specialist; lost by 23.6%; 143 days ago.</t>
  </si>
  <si>
    <t xml:space="preserve">Central Striping Service, Inc.</t>
  </si>
  <si>
    <t xml:space="preserve">Rancho Cordova, CA</t>
  </si>
  <si>
    <t xml:space="preserve">Striping specialist; lost by 26.8%; 143 days ago.</t>
  </si>
  <si>
    <t xml:space="preserve">Weak</t>
  </si>
  <si>
    <t xml:space="preserve">Ferreira Construction, Inc.</t>
  </si>
  <si>
    <t xml:space="preserve">Rancho Cucamonga, CA</t>
  </si>
  <si>
    <t xml:space="preserve">info@ferreiragroup.com</t>
  </si>
  <si>
    <t xml:space="preserve">ferreiraconstruction.com - may be a different (NJ) Ferreira, confirm</t>
  </si>
  <si>
    <t xml:space="preserve">General road contractor (subs out striping/signals); lost by 8.7%; 15 days ago.</t>
  </si>
  <si>
    <t xml:space="preserve">Yunex, LLC</t>
  </si>
  <si>
    <t xml:space="preserve">Signals specialist; lost by 3.6%; 79 days ago; large national firm - lower priority.</t>
  </si>
  <si>
    <t xml:space="preserve">Econolite Systems, Inc.</t>
  </si>
  <si>
    <t xml:space="preserve">Signals specialist; lost by 7.8%; 79 days ago; large national firm - lower priority.</t>
  </si>
  <si>
    <t xml:space="preserve">Van Engineering Inc.</t>
  </si>
  <si>
    <t xml:space="preserve">Etiwanda Ave at Slover Ave/Airport Dr Intersection Improvement (DE-26-220-SB)</t>
  </si>
  <si>
    <t xml:space="preserve">City of Fontana</t>
  </si>
  <si>
    <t xml:space="preserve">CT&amp;T Concrete Paving Inc.</t>
  </si>
  <si>
    <t xml:space="preserve">info@vaneng.com</t>
  </si>
  <si>
    <t xml:space="preserve">Company website (vaneng.com)</t>
  </si>
  <si>
    <t xml:space="preserve">General road contractor (subs out striping/signals); lost by 13.0%; 109 days ago.</t>
  </si>
  <si>
    <t xml:space="preserve">Riverside Construction Company, Inc.</t>
  </si>
  <si>
    <t xml:space="preserve">General road contractor (subs out striping/signals); lost by 26.0%; 109 days ago.</t>
  </si>
  <si>
    <t xml:space="preserve">Toro Enterprises, Inc.</t>
  </si>
  <si>
    <t xml:space="preserve">estimating@toroenterprises.com</t>
  </si>
  <si>
    <t xml:space="preserve">General road contractor (subs out striping/signals); lost by 26.2%; 109 days ago.</t>
  </si>
  <si>
    <t xml:space="preserve">Vido Samarzich, Inc.</t>
  </si>
  <si>
    <t xml:space="preserve">General road contractor (subs out striping/signals); lost by 35.3%; 109 days ago.</t>
  </si>
  <si>
    <t xml:space="preserve">Hillcrest Contracting, Inc.</t>
  </si>
  <si>
    <t xml:space="preserve">General road contractor (subs out striping/signals); lost by 38.2%; 109 days ago.</t>
  </si>
  <si>
    <t xml:space="preserve">B&amp;M Civil LLC</t>
  </si>
  <si>
    <t xml:space="preserve">General road contractor (subs out striping/signals); lost by 6.6%; 113 days ago.</t>
  </si>
  <si>
    <t xml:space="preserve">Argonaut Constructors</t>
  </si>
  <si>
    <t xml:space="preserve">General road contractor (subs out striping/signals); lost by 8.3%; 113 days ago.</t>
  </si>
  <si>
    <t xml:space="preserve">Team Ghilotti, Inc.</t>
  </si>
  <si>
    <t xml:space="preserve">General road contractor (subs out striping/signals); lost by 16.7%; 113 days ago.</t>
  </si>
  <si>
    <t xml:space="preserve">W.R. Forde Associates, Inc.</t>
  </si>
  <si>
    <t xml:space="preserve">General road contractor (subs out striping/signals); lost by 20.7%; 113 days ago.</t>
  </si>
  <si>
    <t xml:space="preserve">Kerex Engineering</t>
  </si>
  <si>
    <t xml:space="preserve">patrick@kerexengineering.com</t>
  </si>
  <si>
    <t xml:space="preserve">General road contractor (subs out striping/signals); lost by 41.1%; 113 days ago.</t>
  </si>
  <si>
    <t xml:space="preserve">Name</t>
  </si>
  <si>
    <t xml:space="preserve">Side</t>
  </si>
  <si>
    <t xml:space="preserve">Verification result (paste)</t>
  </si>
  <si>
    <t xml:space="preserve">fcc-licensing@longbeach.gov</t>
  </si>
  <si>
    <t xml:space="preserve">Long Beach</t>
  </si>
  <si>
    <t xml:space="preserve">Buyer (agency) - HSIP funded</t>
  </si>
  <si>
    <t xml:space="preserve">State-funded (HSIP Cycle 12, Feb 2025) $10,796,700 signs job. Money is approved and most Cycle 12 jobs bid 2026-27. Check the agency's bid page first - some may already be out to bid.</t>
  </si>
  <si>
    <t xml:space="preserve">FCC radio licence (OK - town inbox (verify))</t>
  </si>
  <si>
    <t xml:space="preserve">dliswirelessdivision@glendaleca.gov</t>
  </si>
  <si>
    <t xml:space="preserve">Glendale</t>
  </si>
  <si>
    <t xml:space="preserve">State-funded (HSIP Cycle 12, Feb 2025) $9,168,700 signals/beacons, signs job. Money is approved and most Cycle 12 jobs bid 2026-27. Check the agency's bid page first - some may already be out to bid.</t>
  </si>
  <si>
    <t xml:space="preserve">ryan.smiley@cityofconcord.org</t>
  </si>
  <si>
    <t xml:space="preserve">Concord</t>
  </si>
  <si>
    <t xml:space="preserve">State-funded (HSIP Cycle 12, Feb 2025) $7,782,500 signs job. Money is approved and most Cycle 12 jobs bid 2026-27. Check the agency's bid page first - some may already be out to bid.</t>
  </si>
  <si>
    <t xml:space="preserve">comm-dist@yubawater.org</t>
  </si>
  <si>
    <t xml:space="preserve">Yuba County</t>
  </si>
  <si>
    <t xml:space="preserve">State-funded (HSIP Cycle 12, Feb 2025) $6,495,000 striping/markings, signs job. Money is approved and most Cycle 12 jobs bid 2026-27. Check the agency's bid page first - some may already be out to bid.</t>
  </si>
  <si>
    <t xml:space="preserve">FCC radio licence (Weak - radio/IT/utility inbox, use researched contact)</t>
  </si>
  <si>
    <t xml:space="preserve">mjcottone@trinitycounty.org</t>
  </si>
  <si>
    <t xml:space="preserve">Trinity County</t>
  </si>
  <si>
    <t xml:space="preserve">State-funded (HSIP Cycle 12, Feb 2025) $5,933,600 striping/markings, signs job. Money is approved and most Cycle 12 jobs bid 2026-27. Check the agency's bid page first - some may already be out to bid.</t>
  </si>
  <si>
    <t xml:space="preserve">radiosupport@sjgov.org</t>
  </si>
  <si>
    <t xml:space="preserve">San Joaquin County</t>
  </si>
  <si>
    <t xml:space="preserve">State-funded (HSIP Cycle 12, Feb 2025) $5,430,200 signals/beacons job. Money is approved and most Cycle 12 jobs bid 2026-27. Check the agency's bid page first - some may already be out to bid.</t>
  </si>
  <si>
    <t xml:space="preserve">mweathermon@wcpd.org</t>
  </si>
  <si>
    <t xml:space="preserve">West Covina</t>
  </si>
  <si>
    <t xml:space="preserve">State-funded (HSIP Cycle 12, Feb 2025) $5,259,100 signals/beacons, signs job. Money is approved and most Cycle 12 jobs bid 2026-27. Check the agency's bid page first - some may already be out to bid.</t>
  </si>
  <si>
    <t xml:space="preserve">eott@tularecounty.ca.gov</t>
  </si>
  <si>
    <t xml:space="preserve">Tulare County</t>
  </si>
  <si>
    <t xml:space="preserve">State-funded (HSIP Cycle 12, Feb 2025) $4,535,000 signals/beacons, striping/markings, signs job. Money is approved and most Cycle 12 jobs bid 2026-27. Check the agency's bid page first - some may already be out to bid.</t>
  </si>
  <si>
    <t xml:space="preserve">kal.outly@flysfo.com</t>
  </si>
  <si>
    <t xml:space="preserve">San Francisco</t>
  </si>
  <si>
    <t xml:space="preserve">State-funded (HSIP Cycle 12, Feb 2025) $4,412,400 signs job. Money is approved and most Cycle 12 jobs bid 2026-27. Check the agency's bid page first - some may already be out to bid.</t>
  </si>
  <si>
    <t xml:space="preserve">fsmith@signalhillpd.org</t>
  </si>
  <si>
    <t xml:space="preserve">Signal Hill</t>
  </si>
  <si>
    <t xml:space="preserve">State-funded (HSIP Cycle 12, Feb 2025) $3,022,200 signals/beacons, signs job. Money is approved and most Cycle 12 jobs bid 2026-27. Check the agency's bid page first - some may already be out to bid.</t>
  </si>
  <si>
    <t xml:space="preserve">mwong@cityofrosemead.org</t>
  </si>
  <si>
    <t xml:space="preserve">Rosemead</t>
  </si>
  <si>
    <t xml:space="preserve">State-funded (HSIP Cycle 12, Feb 2025) $2,858,200 signals/beacons, signs job. Money is approved and most Cycle 12 jobs bid 2026-27. Check the agency's bid page first - some may already be out to bid.</t>
  </si>
  <si>
    <t xml:space="preserve">marincoradio@marincounty.org</t>
  </si>
  <si>
    <t xml:space="preserve">San Rafael</t>
  </si>
  <si>
    <t xml:space="preserve">State-funded (HSIP Cycle 12, Feb 2025) $2,839,900 signals/beacons, striping/markings, signs job. Money is approved and most Cycle 12 jobs bid 2026-27. Check the agency's bid page first - some may already be out to bid.</t>
  </si>
  <si>
    <t xml:space="preserve">pbasalusalu@manteca.gov</t>
  </si>
  <si>
    <t xml:space="preserve">Manteca</t>
  </si>
  <si>
    <t xml:space="preserve">State-funded (HSIP Cycle 12, Feb 2025) $2,610,500 signals/beacons, signs job. Money is approved and most Cycle 12 jobs bid 2026-27. Check the agency's bid page first - some may already be out to bid.</t>
  </si>
  <si>
    <t xml:space="preserve">tschuster@buttecounty.net</t>
  </si>
  <si>
    <t xml:space="preserve">Butte County</t>
  </si>
  <si>
    <t xml:space="preserve">State-funded (HSIP Cycle 12, Feb 2025) $2,606,900 signs job. Money is approved and most Cycle 12 jobs bid 2026-27. Check the agency's bid page first - some may already be out to bid.</t>
  </si>
  <si>
    <t xml:space="preserve">zbarker@pittsburgca.gov</t>
  </si>
  <si>
    <t xml:space="preserve">Pittsburg</t>
  </si>
  <si>
    <t xml:space="preserve">State-funded (HSIP Cycle 12, Feb 2025) $2,612,700 signals/beacons, signs job. Money is approved and most Cycle 12 jobs bid 2026-27. Check the agency's bid page first - some may already be out to bid.</t>
  </si>
  <si>
    <t xml:space="preserve">fcc.license@doit.cccounty.us</t>
  </si>
  <si>
    <t xml:space="preserve">Contra Costa County</t>
  </si>
  <si>
    <t xml:space="preserve">State-funded (HSIP Cycle 12, Feb 2025) $2,402,300 signs job. Money is approved and most Cycle 12 jobs bid 2026-27. Check the agency's bid page first - some may already be out to bid.</t>
  </si>
  <si>
    <t xml:space="preserve">kdang@cityofglendora.org</t>
  </si>
  <si>
    <t xml:space="preserve">Glendora</t>
  </si>
  <si>
    <t xml:space="preserve">State-funded (HSIP Cycle 12, Feb 2025) $2,305,100 signals/beacons, signs job. Money is approved and most Cycle 12 jobs bid 2026-27. Check the agency's bid page first - some may already be out to bid.</t>
  </si>
  <si>
    <t xml:space="preserve">fcccontact@ci.milpitas.ca.gov</t>
  </si>
  <si>
    <t xml:space="preserve">Milpitas</t>
  </si>
  <si>
    <t xml:space="preserve">State-funded (HSIP Cycle 12, Feb 2025) $2,293,700 signals/beacons, signs job. Money is approved and most Cycle 12 jobs bid 2026-27. Check the agency's bid page first - some may already be out to bid.</t>
  </si>
  <si>
    <t xml:space="preserve">terrell.harper@stocktonca.gov</t>
  </si>
  <si>
    <t xml:space="preserve">Stockton</t>
  </si>
  <si>
    <t xml:space="preserve">State-funded (HSIP Cycle 12, Feb 2025) $2,195,100 signals/beacons, striping/markings, signs job. Money is approved and most Cycle 12 jobs bid 2026-27. Check the agency's bid page first - some may already be out to bid.</t>
  </si>
  <si>
    <t xml:space="preserve">mlafferty@chulavistaca.gov</t>
  </si>
  <si>
    <t xml:space="preserve">Chula Vista</t>
  </si>
  <si>
    <t xml:space="preserve">State-funded (HSIP Cycle 12, Feb 2025) $1,955,900 striping/markings, signs job. Money is approved and most Cycle 12 jobs bid 2026-27. Check the agency's bid page first - some may already be out to bid.</t>
  </si>
  <si>
    <t xml:space="preserve">joel@moval.org</t>
  </si>
  <si>
    <t xml:space="preserve">Moreno Valley</t>
  </si>
  <si>
    <t xml:space="preserve">State-funded (HSIP Cycle 12, Feb 2025) $1,808,000 signals/beacons, signs job. Money is approved and most Cycle 12 jobs bid 2026-27. Check the agency's bid page first - some may already be out to bid.</t>
  </si>
  <si>
    <t xml:space="preserve">dtech-fcclicense@saccounty.net</t>
  </si>
  <si>
    <t xml:space="preserve">Sacramento County</t>
  </si>
  <si>
    <t xml:space="preserve">State-funded (HSIP Cycle 12, Feb 2025) $1,666,000 signals/beacons, signs job. Money is approved and most Cycle 12 jobs bid 2026-27. Check the agency's bid page first - some may already be out to bid.</t>
  </si>
  <si>
    <t xml:space="preserve">bflinn@downeyca.org</t>
  </si>
  <si>
    <t xml:space="preserve">Downey</t>
  </si>
  <si>
    <t xml:space="preserve">State-funded (HSIP Cycle 12, Feb 2025) $1,573,200 signals/beacons, signs job. Money is approved and most Cycle 12 jobs bid 2026-27. Check the agency's bid page first - some may already be out to bid.</t>
  </si>
  <si>
    <t xml:space="preserve">adam.orland@smgov.net</t>
  </si>
  <si>
    <t xml:space="preserve">Santa Monica</t>
  </si>
  <si>
    <t xml:space="preserve">State-funded (HSIP Cycle 12, Feb 2025) $1,359,600 signals/beacons, striping/markings job. Money is approved and most Cycle 12 jobs bid 2026-27. Check the agency's bid page first - some may already be out to bid.</t>
  </si>
  <si>
    <t xml:space="preserve">tyler.heckstall-rodenbaugh@sdcounty.ca.gov</t>
  </si>
  <si>
    <t xml:space="preserve">San Diego County</t>
  </si>
  <si>
    <t xml:space="preserve">State-funded (HSIP Cycle 12, Feb 2025) $1,338,100 striping/markings job. Money is approved and most Cycle 12 jobs bid 2026-27. Check the agency's bid page first - some may already be out to bid.</t>
  </si>
  <si>
    <t xml:space="preserve">dnguyen@ocde.us</t>
  </si>
  <si>
    <t xml:space="preserve">Orange County</t>
  </si>
  <si>
    <t xml:space="preserve">State-funded (HSIP Cycle 12, Feb 2025) $1,326,200 signals/beacons, signs job. Money is approved and most Cycle 12 jobs bid 2026-27. Check the agency's bid page first - some may already be out to bid.</t>
  </si>
  <si>
    <t xml:space="preserve">mhigdon@solanocounty.gov</t>
  </si>
  <si>
    <t xml:space="preserve">Solano County</t>
  </si>
  <si>
    <t xml:space="preserve">State-funded (HSIP Cycle 12, Feb 2025) $1,313,600 signs job. Money is approved and most Cycle 12 jobs bid 2026-27. Check the agency's bid page first - some may already be out to bid.</t>
  </si>
  <si>
    <t xml:space="preserve">emirzaian@sogate.org</t>
  </si>
  <si>
    <t xml:space="preserve">South Gate</t>
  </si>
  <si>
    <t xml:space="preserve">State-funded (HSIP Cycle 12, Feb 2025) $1,309,900 signals/beacons, signs job. Money is approved and most Cycle 12 jobs bid 2026-27. Check the agency's bid page first - some may already be out to bid.</t>
  </si>
  <si>
    <t xml:space="preserve">bmzumwalt@livermoreca.gov</t>
  </si>
  <si>
    <t xml:space="preserve">Livermore</t>
  </si>
  <si>
    <t xml:space="preserve">State-funded (HSIP Cycle 12, Feb 2025) $1,248,600 signs job. Money is approved and most Cycle 12 jobs bid 2026-27. Check the agency's bid page first - some may already be out to bid.</t>
  </si>
  <si>
    <t xml:space="preserve">radiolicensing@cuaccess.net</t>
  </si>
  <si>
    <t xml:space="preserve">Petaluma</t>
  </si>
  <si>
    <t xml:space="preserve">State-funded (HSIP Cycle 12, Feb 2025) $1,237,400 signals/beacons, signs job. Money is approved and most Cycle 12 jobs bid 2026-27. Check the agency's bid page first - some may already be out to bid.</t>
  </si>
  <si>
    <t xml:space="preserve">itradioalerts@cityofsantamaria.org</t>
  </si>
  <si>
    <t xml:space="preserve">Santa Maria</t>
  </si>
  <si>
    <t xml:space="preserve">State-funded (HSIP Cycle 12, Feb 2025) $1,217,200 signals/beacons, signs job. Money is approved and most Cycle 12 jobs bid 2026-27. Check the agency's bid page first - some may already be out to bid.</t>
  </si>
  <si>
    <t xml:space="preserve">corina.padilla@fcle.org</t>
  </si>
  <si>
    <t xml:space="preserve">Kingsburg</t>
  </si>
  <si>
    <t xml:space="preserve">State-funded (HSIP Cycle 12, Feb 2025) $1,184,800 signals/beacons, striping/markings, traffic calming job. Money is approved and most Cycle 12 jobs bid 2026-27. Check the agency's bid page first - some may already be out to bid.</t>
  </si>
  <si>
    <t xml:space="preserve">greg.gonser@cityoftracy.org</t>
  </si>
  <si>
    <t xml:space="preserve">Tracy</t>
  </si>
  <si>
    <t xml:space="preserve">State-funded (HSIP Cycle 12, Feb 2025) $1,153,600 signals/beacons, striping/markings, signs job. Money is approved and most Cycle 12 jobs bid 2026-27. Check the agency's bid page first - some may already be out to bid.</t>
  </si>
  <si>
    <t xml:space="preserve">jhosy.ortega@co-del-norte.ca.us</t>
  </si>
  <si>
    <t xml:space="preserve">Del Norte County</t>
  </si>
  <si>
    <t xml:space="preserve">State-funded (HSIP Cycle 12, Feb 2025) $1,111,100 guardrail job. Money is approved and most Cycle 12 jobs bid 2026-27. Check the agency's bid page first - some may already be out to bid.</t>
  </si>
  <si>
    <t xml:space="preserve">fcc@edso.org</t>
  </si>
  <si>
    <t xml:space="preserve">El Dorado County</t>
  </si>
  <si>
    <t xml:space="preserve">communications.manager@countyofnapa.org</t>
  </si>
  <si>
    <t xml:space="preserve">fcclic@placer.ca.gov</t>
  </si>
  <si>
    <t xml:space="preserve">Placer County</t>
  </si>
  <si>
    <t xml:space="preserve">State-funded (HSIP Cycle 12, Feb 2025) $1,110,900 signs job. Money is approved and most Cycle 12 jobs bid 2026-27. Check the agency's bid page first - some may already be out to bid.</t>
  </si>
  <si>
    <t xml:space="preserve">gpeterson@co.tuolumne.ca.us</t>
  </si>
  <si>
    <t xml:space="preserve">Tuolumne County</t>
  </si>
  <si>
    <t xml:space="preserve">State-funded (HSIP Cycle 12, Feb 2025) $1,109,400 guardrail job. Money is approved and most Cycle 12 jobs bid 2026-27. Check the agency's bid page first - some may already be out to bid.</t>
  </si>
  <si>
    <t xml:space="preserve">jsanders@simivalley.org</t>
  </si>
  <si>
    <t xml:space="preserve">Simi Valley</t>
  </si>
  <si>
    <t xml:space="preserve">State-funded (HSIP Cycle 12, Feb 2025) $1,098,600 signals/beacons, signs job. Money is approved and most Cycle 12 jobs bid 2026-27. Check the agency's bid page first - some may already be out to bid.</t>
  </si>
  <si>
    <t xml:space="preserve">mtse@paramountcity.com</t>
  </si>
  <si>
    <t xml:space="preserve">Paramount</t>
  </si>
  <si>
    <t xml:space="preserve">State-funded (HSIP Cycle 12, Feb 2025) $1,035,000 signals/beacons, signs job. Money is approved and most Cycle 12 jobs bid 2026-27. Check the agency's bid page first - some may already be out to bid.</t>
  </si>
  <si>
    <t xml:space="preserve">rdees@ci.eureka.ca.gov</t>
  </si>
  <si>
    <t xml:space="preserve">Eureka</t>
  </si>
  <si>
    <t xml:space="preserve">State-funded (HSIP Cycle 12, Feb 2025) $983,400 signals/beacons, signs job. Money is approved and most Cycle 12 jobs bid 2026-27. Check the agency's bid page first - some may already be out to bid.</t>
  </si>
  <si>
    <t xml:space="preserve">rwomack@townoftruckee.com</t>
  </si>
  <si>
    <t xml:space="preserve">Truckee</t>
  </si>
  <si>
    <t xml:space="preserve">State-funded (HSIP Cycle 12, Feb 2025) $932,500 guardrail job. Money is approved and most Cycle 12 jobs bid 2026-27. Check the agency's bid page first - some may already be out to bid.</t>
  </si>
  <si>
    <t xml:space="preserve">radiolicensing@co.slo.ca.us</t>
  </si>
  <si>
    <t xml:space="preserve">San Luis Obispo County</t>
  </si>
  <si>
    <t xml:space="preserve">State-funded (HSIP Cycle 12, Feb 2025) $908,400 signals/beacons, striping/markings, signs job. Money is approved and most Cycle 12 jobs bid 2026-27. Check the agency's bid page first - some may already be out to bid.</t>
  </si>
  <si>
    <t xml:space="preserve">ereeves@cityoffredlands.org</t>
  </si>
  <si>
    <t xml:space="preserve">Redlands</t>
  </si>
  <si>
    <t xml:space="preserve">State-funded (HSIP Cycle 12, Feb 2025) $900,000 signals/beacons, signs job. Money is approved and most Cycle 12 jobs bid 2026-27. Check the agency's bid page first - some may already be out to bid.</t>
  </si>
  <si>
    <t xml:space="preserve">itdcommshop@countyofsb.org</t>
  </si>
  <si>
    <t xml:space="preserve">Santa Barbara County</t>
  </si>
  <si>
    <t xml:space="preserve">State-funded (HSIP Cycle 12, Feb 2025) $890,000 guardrail job. Money is approved and most Cycle 12 jobs bid 2026-27. Check the agency's bid page first - some may already be out to bid.</t>
  </si>
  <si>
    <t xml:space="preserve">amanda.marciel@ci.gilroy.ca.us</t>
  </si>
  <si>
    <t xml:space="preserve">Gilroy</t>
  </si>
  <si>
    <t xml:space="preserve">State-funded (HSIP Cycle 12, Feb 2025) $959,000 guardrail job. Money is approved and most Cycle 12 jobs bid 2026-27. Check the agency's bid page first - some may already be out to bid.</t>
  </si>
  <si>
    <t xml:space="preserve">snurre@elmontepd.org</t>
  </si>
  <si>
    <t xml:space="preserve">El Monte</t>
  </si>
  <si>
    <t xml:space="preserve">State-funded (HSIP Cycle 12, Feb 2025) $779,300 signals/beacons, striping/markings, signs job. Money is approved and most Cycle 12 jobs bid 2026-27. Check the agency's bid page first - some may already be out to bid.</t>
  </si>
  <si>
    <t xml:space="preserve">publicworksmsc@toaks.org</t>
  </si>
  <si>
    <t xml:space="preserve">Thousand Oaks</t>
  </si>
  <si>
    <t xml:space="preserve">State-funded (HSIP Cycle 12, Feb 2025) $825,800 signals/beacons, striping/markings, signs job. Money is approved and most Cycle 12 jobs bid 2026-27. Check the agency's bid page first - some may already be out to bid.</t>
  </si>
  <si>
    <t xml:space="preserve">emd@eastvaleca.gov</t>
  </si>
  <si>
    <t xml:space="preserve">Eastvale</t>
  </si>
  <si>
    <t xml:space="preserve">State-funded (HSIP Cycle 12, Feb 2025) $721,800 signals/beacons, signs job. Money is approved and most Cycle 12 jobs bid 2026-27. Check the agency's bid page first - some may already be out to bid.</t>
  </si>
  <si>
    <t xml:space="preserve">rcheung@carson.ca.us</t>
  </si>
  <si>
    <t xml:space="preserve">Carson</t>
  </si>
  <si>
    <t xml:space="preserve">State-funded (HSIP Cycle 12, Feb 2025) $709,300 signals/beacons, striping/markings, signs job. Money is approved and most Cycle 12 jobs bid 2026-27. Check the agency's bid page first - some may already be out to bid.</t>
  </si>
  <si>
    <t xml:space="preserve">asanchez@stcoe.com</t>
  </si>
  <si>
    <t xml:space="preserve">Stanislaus County</t>
  </si>
  <si>
    <t xml:space="preserve">State-funded (HSIP Cycle 12, Feb 2025) $601,000 signals/beacons, signs job. Money is approved and most Cycle 12 jobs bid 2026-27. Check the agency's bid page first - some may already be out to bid.</t>
  </si>
  <si>
    <t xml:space="preserve">fcc-coordination@ventura.org</t>
  </si>
  <si>
    <t xml:space="preserve">Ventura County</t>
  </si>
  <si>
    <t xml:space="preserve">State-funded (HSIP Cycle 12, Feb 2025) $555,200 signals/beacons, striping/markings, signs job. Money is approved and most Cycle 12 jobs bid 2026-27. Check the agency's bid page first - some may already be out to bid.</t>
  </si>
  <si>
    <t xml:space="preserve">dlarson@cityofcalabasas.com</t>
  </si>
  <si>
    <t xml:space="preserve">Calabasas</t>
  </si>
  <si>
    <t xml:space="preserve">State-funded (HSIP Cycle 12, Feb 2025) $520,600 guardrail job. Money is approved and most Cycle 12 jobs bid 2026-27. Check the agency's bid page first - some may already be out to bid.</t>
  </si>
  <si>
    <t xml:space="preserve">msmith@inyocounty.us</t>
  </si>
  <si>
    <t xml:space="preserve">Inyo County</t>
  </si>
  <si>
    <t xml:space="preserve">State-funded (HSIP Cycle 12, Feb 2025) $518,200 signs job. Money is approved and most Cycle 12 jobs bid 2026-27. Check the agency's bid page first - some may already be out to bid.</t>
  </si>
  <si>
    <t xml:space="preserve">jdimas@townofmammothlakes.ca.gov</t>
  </si>
  <si>
    <t xml:space="preserve">Mammoth Lakes</t>
  </si>
  <si>
    <t xml:space="preserve">State-funded (HSIP Cycle 12, Feb 2025) $869,500 signals/beacons, striping/markings job. Money is approved and most Cycle 12 jobs bid 2026-27. Check the agency's bid page first - some may already be out to bid.</t>
  </si>
  <si>
    <t xml:space="preserve">r.morales@sanjuanbautista.ca.gov</t>
  </si>
  <si>
    <t xml:space="preserve">San Juan Bautista</t>
  </si>
  <si>
    <t xml:space="preserve">State-funded (HSIP Cycle 12, Feb 2025) $514,100 striping/markings, signs job. Money is approved and most Cycle 12 jobs bid 2026-27. Check the agency's bid page first - some may already be out to bid.</t>
  </si>
  <si>
    <t xml:space="preserve">rberroteran@cityofwildomar.org</t>
  </si>
  <si>
    <t xml:space="preserve">Wildomar</t>
  </si>
  <si>
    <t xml:space="preserve">State-funded (HSIP Cycle 12, Feb 2025) $622,000 striping/markings job. Money is approved and most Cycle 12 jobs bid 2026-27. Check the agency's bid page first - some may already be out to bid.</t>
  </si>
  <si>
    <t xml:space="preserve">agcity@fix.net</t>
  </si>
  <si>
    <t xml:space="preserve">Arroyo Grande</t>
  </si>
  <si>
    <t xml:space="preserve">State-funded (HSIP Cycle 12, Feb 2025) $627,600 signals/beacons, striping/markings, signs, traffic calming job. Money is approved and most Cycle 12 jobs bid 2026-27. Check the agency's bid page first - some may already be out to bid.</t>
  </si>
  <si>
    <t xml:space="preserve">adyke@fontana.org</t>
  </si>
  <si>
    <t xml:space="preserve">Fontana</t>
  </si>
  <si>
    <t xml:space="preserve">Buyer (agency) - Newest signals</t>
  </si>
  <si>
    <t xml:space="preserve">Design engineer hired - construction bid next. Voted 37 days ago, so the job is still ahead and not yet on bid sites.  has a contact.</t>
  </si>
  <si>
    <t xml:space="preserve">utilitiesma@hayward-ca.gov</t>
  </si>
  <si>
    <t xml:space="preserve">Hayward</t>
  </si>
  <si>
    <t xml:space="preserve">Design engineer hired - construction bid next. Voted 39 days ago, so the job is still ahead and not yet on bid sites. $173,211 has a contact.</t>
  </si>
  <si>
    <t xml:space="preserve">spowell@riversideca.gov</t>
  </si>
  <si>
    <t xml:space="preserve">Riverside</t>
  </si>
  <si>
    <t xml:space="preserve">Contract cancelled - job will be re-bid. Voted 56 days ago, so the job is still ahead and not yet on bid sites. $3,126,989 has a contact.</t>
  </si>
  <si>
    <t xml:space="preserve">glavichg@co.mendocino.ca.us</t>
  </si>
  <si>
    <t xml:space="preserve">Mendocino County</t>
  </si>
  <si>
    <t xml:space="preserve">Design engineer hired - construction bid next. Voted 58 days ago, so the job is still ahead and not yet on bid sites. $1,101,121 has a contact.</t>
  </si>
  <si>
    <t xml:space="preserve">dschool@chinopd.org</t>
  </si>
  <si>
    <t xml:space="preserve">Chino</t>
  </si>
  <si>
    <t xml:space="preserve">Design engineer hired - construction bid next. Voted 72 days ago, so the job is still ahead and not yet on bid sites.  has a contact.</t>
  </si>
  <si>
    <t xml:space="preserve">jaime.salazar@visalia.gov</t>
  </si>
  <si>
    <t xml:space="preserve">Visalia</t>
  </si>
  <si>
    <t xml:space="preserve">Contract cancelled - job will be re-bid. Voted 93 days ago, so the job is still ahead and not yet on bid sites. $795,000 has a contact.</t>
  </si>
  <si>
    <t xml:space="preserve">skaplan@oaklandca.gov</t>
  </si>
  <si>
    <t xml:space="preserve">Oakland</t>
  </si>
  <si>
    <t xml:space="preserve">Design engineer hired - construction bid next. Voted 121 days ago, so the job is still ahead and not yet on bid sites. $300,000 has a contact.</t>
  </si>
  <si>
    <t xml:space="preserve">Seller (contractor)</t>
  </si>
  <si>
    <t xml:space="preserve">rcollin@cityofmadera.com</t>
  </si>
  <si>
    <t xml:space="preserve">Madera</t>
  </si>
  <si>
    <t xml:space="preserve">State-funded (HSIP Cycle 12) but smaller ($411,300) striping/markings job. Good for small local contractors; check if already bid.</t>
  </si>
  <si>
    <t xml:space="preserve">kbarr@lcf.ca.gov</t>
  </si>
  <si>
    <t xml:space="preserve">La Canada Flintridge</t>
  </si>
  <si>
    <t xml:space="preserve">State-funded (HSIP Cycle 12) but smaller ($389,200) signals/beacons, signs job. Good for small local contractors; check if already bid.</t>
  </si>
  <si>
    <t xml:space="preserve">cgray@santa-clarita.com</t>
  </si>
  <si>
    <t xml:space="preserve">Santa Clarita</t>
  </si>
  <si>
    <t xml:space="preserve">State-funded (HSIP Cycle 12) but smaller ($411,900) signals/beacons, signs job. Good for small local contractors; check if already bid.</t>
  </si>
  <si>
    <t xml:space="preserve">pubworks@co.calaveras.ca.us</t>
  </si>
  <si>
    <t xml:space="preserve">Calaveras County</t>
  </si>
  <si>
    <t xml:space="preserve">State-funded (HSIP Cycle 12) but smaller ($391,800) striping/markings job. Good for small local contractors; check if already bid.</t>
  </si>
  <si>
    <t xml:space="preserve">jbowling@tulare.ca.gov</t>
  </si>
  <si>
    <t xml:space="preserve">Tulare</t>
  </si>
  <si>
    <t xml:space="preserve">State-funded (HSIP Cycle 12) but smaller ($388,800) signals/beacons job. Good for small local contractors; check if already bid.</t>
  </si>
  <si>
    <t xml:space="preserve">gaye.lynn.ward@oxnardpd.org</t>
  </si>
  <si>
    <t xml:space="preserve">Oxnard</t>
  </si>
  <si>
    <t xml:space="preserve">State-funded (HSIP Cycle 12) but smaller ($388,800) signs job. Good for small local contractors; check if already bid.</t>
  </si>
  <si>
    <t xml:space="preserve">jsmth@fortbragg.com</t>
  </si>
  <si>
    <t xml:space="preserve">Fort Bragg</t>
  </si>
  <si>
    <t xml:space="preserve">State-funded (HSIP Cycle 12) but smaller ($397,200) striping/markings, traffic calming job. Good for small local contractors; check if already bid.</t>
  </si>
  <si>
    <t xml:space="preserve">citypw@cityofsebastopol.gov</t>
  </si>
  <si>
    <t xml:space="preserve">Sebastopol</t>
  </si>
  <si>
    <t xml:space="preserve">State-funded (HSIP Cycle 12) but smaller ($388,400) signals/beacons, striping/markings, signs job. Good for small local contractors; check if already bid.</t>
  </si>
  <si>
    <t xml:space="preserve">keith.mcdonald@cityofvacaville.com</t>
  </si>
  <si>
    <t xml:space="preserve">Vacaville</t>
  </si>
  <si>
    <t xml:space="preserve">State-funded (HSIP Cycle 12) but smaller ($388,400) signals/beacons, signs job. Good for small local contractors; check if already bid.</t>
  </si>
  <si>
    <t xml:space="preserve">citymanager@chinohills.org</t>
  </si>
  <si>
    <t xml:space="preserve">Chino Hills</t>
  </si>
  <si>
    <t xml:space="preserve">State-funded (HSIP Cycle 12) but smaller ($395,300) striping/markings job. Good for small local contractors; check if already bid.</t>
  </si>
  <si>
    <t xml:space="preserve">fwarren@cityofsantacruz.com</t>
  </si>
  <si>
    <t xml:space="preserve">Santa Cruz</t>
  </si>
  <si>
    <t xml:space="preserve">State-funded (HSIP Cycle 12) but smaller ($387,900) signals/beacons, striping/markings, signs, traffic calming job. Good for small local contractors; check if already bid.</t>
  </si>
  <si>
    <t xml:space="preserve">dsavage@cityofarcata.org</t>
  </si>
  <si>
    <t xml:space="preserve">Arcata</t>
  </si>
  <si>
    <t xml:space="preserve">State-funded (HSIP Cycle 12) but smaller ($385,600) signals/beacons, striping/markings, signs, traffic calming job. Good for small local contractors; check if already bid.</t>
  </si>
  <si>
    <t xml:space="preserve">kseumalo@indianwells.com</t>
  </si>
  <si>
    <t xml:space="preserve">Indian Wells</t>
  </si>
  <si>
    <t xml:space="preserve">State-funded (HSIP Cycle 12) but smaller ($382,800) striping/markings job. Good for small local contractors; check if already bid.</t>
  </si>
  <si>
    <t xml:space="preserve">fccinfo@fairfield.ca.gov</t>
  </si>
  <si>
    <t xml:space="preserve">Fairfield</t>
  </si>
  <si>
    <t xml:space="preserve">State-funded (HSIP Cycle 12) but smaller ($449,300) signals/beacons, striping/markings, signs job. Good for small local contractors; check if already bid.</t>
  </si>
  <si>
    <t xml:space="preserve">dmcminn@cityoftaft.org</t>
  </si>
  <si>
    <t xml:space="preserve">Taft</t>
  </si>
  <si>
    <t xml:space="preserve">State-funded (HSIP Cycle 12) but smaller ($376,000) signals/beacons, striping/markings, signs job. Good for small local contractors; check if already bid.</t>
  </si>
  <si>
    <t xml:space="preserve">publicworks@countyofglenn.net</t>
  </si>
  <si>
    <t xml:space="preserve">Glenn County</t>
  </si>
  <si>
    <t xml:space="preserve">State-funded (HSIP Cycle 12) but smaller ($361,800) striping/markings job. Good for small local contractors; check if already bid.</t>
  </si>
  <si>
    <t xml:space="preserve">kgurwell@cityofpasadena.net</t>
  </si>
  <si>
    <t xml:space="preserve">Pasadena</t>
  </si>
  <si>
    <t xml:space="preserve">State-funded (HSIP Cycle 12) but smaller ($360,700) signals/beacons, striping/markings, signs job. Good for small local contractors; check if already bid.</t>
  </si>
  <si>
    <t xml:space="preserve">kepdrecords@cityofkerman.org</t>
  </si>
  <si>
    <t xml:space="preserve">Kerman</t>
  </si>
  <si>
    <t xml:space="preserve">State-funded (HSIP Cycle 12) but smaller ($350,000) striping/markings, signs, traffic calming job. Good for small local contractors; check if already bid.</t>
  </si>
  <si>
    <t xml:space="preserve">liliana.mcfarland@lemoorepd.com</t>
  </si>
  <si>
    <t xml:space="preserve">Lemoore</t>
  </si>
  <si>
    <t xml:space="preserve">jbrandenburg@sanbruno.ca.gov</t>
  </si>
  <si>
    <t xml:space="preserve">San Bruno</t>
  </si>
  <si>
    <t xml:space="preserve">State-funded (HSIP Cycle 12) but smaller ($349,100) signals/beacons, striping/markings, signs job. Good for small local contractors; check if already bid.</t>
  </si>
  <si>
    <t xml:space="preserve">sahrary@elkgrovecity.org</t>
  </si>
  <si>
    <t xml:space="preserve">Elk Grove</t>
  </si>
  <si>
    <t xml:space="preserve">State-funded (HSIP Cycle 12) but smaller ($346,100) signals/beacons job. Good for small local contractors; check if already bid.</t>
  </si>
  <si>
    <t xml:space="preserve">efisher@santaana.org</t>
  </si>
  <si>
    <t xml:space="preserve">Santa Ana</t>
  </si>
  <si>
    <t xml:space="preserve">State-funded (HSIP Cycle 12) but smaller ($342,300) striping/markings job. Good for small local contractors; check if already bid.</t>
  </si>
  <si>
    <t xml:space="preserve">jbest@cityofdavis.org</t>
  </si>
  <si>
    <t xml:space="preserve">Davis</t>
  </si>
  <si>
    <t xml:space="preserve">State-funded (HSIP Cycle 12) but smaller ($341,900) signals/beacons, striping/markings job. Good for small local contractors; check if already bid.</t>
  </si>
  <si>
    <t xml:space="preserve">radio@prcity.com</t>
  </si>
  <si>
    <t xml:space="preserve">El Paso De Robles</t>
  </si>
  <si>
    <t xml:space="preserve">State-funded (HSIP Cycle 12) but smaller ($311,700) signals/beacons job. Good for small local contractors; check if already bid.</t>
  </si>
  <si>
    <t xml:space="preserve">obostan@coltonca.gov</t>
  </si>
  <si>
    <t xml:space="preserve">Colton</t>
  </si>
  <si>
    <t xml:space="preserve">State-funded (HSIP Cycle 12) but smaller ($246,600) signals/beacons, striping/markings, signs job. Good for small local contractors; check if already bid.</t>
  </si>
  <si>
    <t xml:space="preserve">bhansen@yubacity.net</t>
  </si>
  <si>
    <t xml:space="preserve">Yuba City</t>
  </si>
  <si>
    <t xml:space="preserve">State-funded (HSIP Cycle 12) but smaller ($230,500) signals/beacons job. Good for small local contractors; check if already bid.</t>
  </si>
  <si>
    <t xml:space="preserve">mcave@townofwindsor.com</t>
  </si>
  <si>
    <t xml:space="preserve">Windsor</t>
  </si>
  <si>
    <t xml:space="preserve">State-funded (HSIP Cycle 12) but smaller ($217,900) guardrail job. Good for small local contractors; check if already bid.</t>
  </si>
  <si>
    <t xml:space="preserve">invoicedixon@cityofdixon.us</t>
  </si>
  <si>
    <t xml:space="preserve">Dixon</t>
  </si>
  <si>
    <t xml:space="preserve">State-funded (HSIP Cycle 12) but smaller ($177,100) signals/beacons, striping/markings, signs job. Good for small local contractors; check if already bid.</t>
  </si>
  <si>
    <t xml:space="preserve">rn107@sgpd.com</t>
  </si>
  <si>
    <t xml:space="preserve">San Gabriel</t>
  </si>
  <si>
    <t xml:space="preserve">State-funded (HSIP Cycle 12) but smaller ($121,100) signals/beacons, striping/markings, signs job. Good for small local contractors; check if already bid.</t>
  </si>
  <si>
    <t xml:space="preserve">alma.torres@fresno.gov</t>
  </si>
  <si>
    <t xml:space="preserve">Fresno</t>
  </si>
  <si>
    <t xml:space="preserve">Applied for a state/federal safety grant 22 days ago. Money not won yet (awards expected 2027) - good for an early relationship, not an intro this month. has a contact.</t>
  </si>
  <si>
    <t xml:space="preserve">john.branch@sbmwd.org</t>
  </si>
  <si>
    <t xml:space="preserve">San Bernardino</t>
  </si>
  <si>
    <t xml:space="preserve">saccityradio@cityofsacramento.org</t>
  </si>
  <si>
    <t xml:space="preserve">Sacramento</t>
  </si>
  <si>
    <t xml:space="preserve">Applied for a state/federal safety grant 44 days ago. Money not won yet (awards expected 2027) - good for an early relationship, not an intro this month. has a contact.</t>
  </si>
  <si>
    <t xml:space="preserve">askrua@rialtoca.gov</t>
  </si>
  <si>
    <t xml:space="preserve">Rialto</t>
  </si>
  <si>
    <t xml:space="preserve">Applied for a state/federal safety grant 50 days ago. Money not won yet (awards expected 2027) - good for an early relationship, not an intro this month. has a contact.</t>
  </si>
  <si>
    <t xml:space="preserve">itsdradio@fresnocountyca.gov</t>
  </si>
  <si>
    <t xml:space="preserve">Fresno County</t>
  </si>
  <si>
    <t xml:space="preserve">Applied for a state/federal safety grant 57 days ago. Money not won yet (awards expected 2027) - good for an early relationship, not an intro this month. has a contact.</t>
  </si>
  <si>
    <t xml:space="preserve">mhitzler@cityofnapa.org</t>
  </si>
  <si>
    <t xml:space="preserve">Napa</t>
  </si>
  <si>
    <t xml:space="preserve">Applied for a state/federal safety grant 129 days ago. Money not won yet (awards expected 2027) - good for an early relationship, not an intro this month. has a contact.</t>
  </si>
  <si>
    <t xml:space="preserve">itgroup@temeculaca.gov</t>
  </si>
  <si>
    <t xml:space="preserve">Temecula</t>
  </si>
  <si>
    <t xml:space="preserve">Applied for a state/federal safety grant 135 days ago. Money not won yet (awards expected 2027) - good for an early relationship, not an intro this month. has a contact.</t>
  </si>
  <si>
    <t xml:space="preserve">rick.blanchard@acgov.org</t>
  </si>
  <si>
    <t xml:space="preserve">San Leandro</t>
  </si>
  <si>
    <t xml:space="preserve">Applied for a state/federal safety grant 137 days ago. Money not won yet (awards expected 2027) - good for an early relationship, not an intro this month. has a contact.</t>
  </si>
  <si>
    <t xml:space="preserve">311@cityofsacramento.org</t>
  </si>
  <si>
    <t xml:space="preserve">Buyer (agency) - researched contact</t>
  </si>
  <si>
    <t xml:space="preserve">Agency website / public record</t>
  </si>
  <si>
    <t xml:space="preserve">stwhite@fresnocountyca.gov</t>
  </si>
  <si>
    <t xml:space="preserve">bjimenez@fresnocountyca.gov</t>
  </si>
  <si>
    <t xml:space="preserve">designservices@fresnocountyca.gov</t>
  </si>
  <si>
    <t xml:space="preserve">jennifer.copeland@mountainview.gov</t>
  </si>
  <si>
    <t xml:space="preserve">Mountain View</t>
  </si>
  <si>
    <t xml:space="preserve">Early discussion or small item (Early planning / council discussion). Watch it; no money approved yet.</t>
  </si>
  <si>
    <t xml:space="preserve">brad.lombardo@pomonaca.gov</t>
  </si>
  <si>
    <t xml:space="preserve">Pomona</t>
  </si>
  <si>
    <t xml:space="preserve">cmoxley@alamedaca.gov</t>
  </si>
  <si>
    <t xml:space="preserve">Alameda</t>
  </si>
  <si>
    <t xml:space="preserve">fcc@sanjoseca.gov</t>
  </si>
  <si>
    <t xml:space="preserve">San Jose</t>
  </si>
  <si>
    <t xml:space="preserve">dillsaverm@cityofmerced.org</t>
  </si>
  <si>
    <t xml:space="preserve">Merced</t>
  </si>
  <si>
    <t xml:space="preserve">laurie.hill@surfcity-hb.org</t>
  </si>
  <si>
    <t xml:space="preserve">Huntington Beach</t>
  </si>
  <si>
    <t xml:space="preserve">fcclicensesb@santabarbaraca.gov</t>
  </si>
  <si>
    <t xml:space="preserve">Santa Barbara</t>
  </si>
  <si>
    <t xml:space="preserve">smc_fccmanager@smcgov.org</t>
  </si>
  <si>
    <t xml:space="preserve">San Mateo County</t>
  </si>
  <si>
    <t xml:space="preserve">fcc.contact@ci.sunnyvale.ca.us</t>
  </si>
  <si>
    <t xml:space="preserve">Sunnyvale</t>
  </si>
  <si>
    <t xml:space="preserve">ralvarado@costamesaca.gov</t>
  </si>
  <si>
    <t xml:space="preserve">Costa Mesa</t>
  </si>
  <si>
    <t xml:space="preserve">keing@nbpd.org</t>
  </si>
  <si>
    <t xml:space="preserve">Newport Beach</t>
  </si>
  <si>
    <t xml:space="preserve">bbuecher@lodi.goc</t>
  </si>
  <si>
    <t xml:space="preserve">Lodi</t>
  </si>
  <si>
    <t xml:space="preserve">ackermanj@co.monterey.ca.us</t>
  </si>
  <si>
    <t xml:space="preserve">Monterey County</t>
  </si>
  <si>
    <t xml:space="preserve">Already awarded to a contractor - no buyer opportunity now. Use the winner as a sub/supplier lead instead.</t>
  </si>
  <si>
    <t xml:space="preserve">dnelson@co.humboldt.ca.us</t>
  </si>
  <si>
    <t xml:space="preserve">Tier (1=hottest)</t>
  </si>
  <si>
    <t xml:space="preserve">Stage</t>
  </si>
  <si>
    <t xml:space="preserve">Work type</t>
  </si>
  <si>
    <t xml:space="preserve">$ in record</t>
  </si>
  <si>
    <t xml:space="preserve">Council date</t>
  </si>
  <si>
    <t xml:space="preserve">What the record says</t>
  </si>
  <si>
    <t xml:space="preserve">When work is likely</t>
  </si>
  <si>
    <t xml:space="preserve">Best contact (researched)</t>
  </si>
  <si>
    <t xml:space="preserve">Email (FCC licence)</t>
  </si>
  <si>
    <t xml:space="preserve">Email check</t>
  </si>
  <si>
    <t xml:space="preserve">Contact on licence</t>
  </si>
  <si>
    <t xml:space="preserve">Official record</t>
  </si>
  <si>
    <t xml:space="preserve">Design engineer hired - construction bid next. Voted 22 days ago, so the job is still ahead and not yet on bid sites. $419,687 has a contact.</t>
  </si>
  <si>
    <t xml:space="preserve">Fullerton</t>
  </si>
  <si>
    <t xml:space="preserve">Design engineer hired - construction bid next</t>
  </si>
  <si>
    <t xml:space="preserve">Signals/beacons, Signs</t>
  </si>
  <si>
    <t xml:space="preserve">$419,687</t>
  </si>
  <si>
    <t xml:space="preserve">$419,687 PROFESSIONAL SERVICES AGREEMENT WITH CANNON CORPORATION FOR ORANGETHORPE AVENUE AND HARBOR BOULEVARD TRAFFIC SIGNAL AND SAFETY LIGHTING ENHANCEMENT PROJECT</t>
  </si>
  <si>
    <t xml:space="preserve">Bid in ~6-12 months</t>
  </si>
  <si>
    <t xml:space="preserve">Stephen Bise, Public Works Director (licensed traffic engineer); Traffic Engineering 714-738-6845</t>
  </si>
  <si>
    <t xml:space="preserve">Road safety</t>
  </si>
  <si>
    <t xml:space="preserve">Approve a Task Order for Geotechnical and Materials Testing Services with Geocon West, Inc. and Amendment No. 2 for Construction Support Services to Task Order No. 1 with Jacobs for the Etiwanda-Slover Intersection Improvement Project</t>
  </si>
  <si>
    <t xml:space="preserve">Traffic Division via Engineering 909-350-7610</t>
  </si>
  <si>
    <t xml:space="preserve">OK - town inbox (verify)</t>
  </si>
  <si>
    <t xml:space="preserve">Fleet Supervisor</t>
  </si>
  <si>
    <t xml:space="preserve">(909) 350-6536</t>
  </si>
  <si>
    <t xml:space="preserve">$173,211</t>
  </si>
  <si>
    <t xml:space="preserve">Adopt a Resolution Authorizing the City Manager to Execute a Professional Services Agreement with Kimley-Horn and Associates with a Maximum Compensation Amount Not-to-Exceed $173,211 for Design Services for the Local Highway Safety Improvement Program Industrial Parkway/Ruus Road Intersection Improvements and Bikeway Gap Closures, Project 05716</t>
  </si>
  <si>
    <t xml:space="preserve">Transportation Division (main 510-583-4000)</t>
  </si>
  <si>
    <t xml:space="preserve">Weak - radio/IT/utility inbox, use researched contact</t>
  </si>
  <si>
    <t xml:space="preserve">Sharon Hu, Public Works &amp; Utilities</t>
  </si>
  <si>
    <t xml:space="preserve">(510) 583-4718</t>
  </si>
  <si>
    <t xml:space="preserve">Contract cancelled - job will be re-bid</t>
  </si>
  <si>
    <t xml:space="preserve">$3,126,989</t>
  </si>
  <si>
    <t xml:space="preserve">Terminate existing construction contract for Bid 8183 with Servitek Electrical Inc., Norwalk, for $3,126,989 for Highway Safety Improvement Program (HSIP) Cycle 11 Citywide Retroreflective Backplates and Right-Turn Overlap for citywide traffic safety improvement project - Re-bid construction project for Highway Safety Improvement Program (HSIP) Cycle 11 Citywide Retroreflective Backplates and Righ</t>
  </si>
  <si>
    <t xml:space="preserve">Now - next 3 months</t>
  </si>
  <si>
    <t xml:space="preserve">Nathan Mustafa, Public Works Director (ex-City Traffic Engineer); Public Works 3900 Main St</t>
  </si>
  <si>
    <t xml:space="preserve">Special Transportation</t>
  </si>
  <si>
    <t xml:space="preserve">(951) 826-2000</t>
  </si>
  <si>
    <t xml:space="preserve">$1,101,121</t>
  </si>
  <si>
    <t xml:space="preserve">Adoption of Resolution Approving Agreement (Department of Transportation Agreement Number 260013) with Dokken Engineering in the Amount of $1,101,121 for Professional Engineering Design Services, and Authorizing an Additional Contingency Amount of $110,000, for the Covelo/Round Valley Safe Routes to School Project, Effective Upon Execution through May 31, 2029 (Round Valley)
Vote Requirement:  </t>
  </si>
  <si>
    <t xml:space="preserve">Dept of Transportation, attn Tyler Franz (707-234-2850)</t>
  </si>
  <si>
    <t xml:space="preserve">Greg Glavich</t>
  </si>
  <si>
    <t xml:space="preserve">(707) 671-6506</t>
  </si>
  <si>
    <t xml:space="preserve">Design engineer hired - construction bid next. Voted 64 days ago, so the job is still ahead and not yet on bid sites. $175,000, has a contact.</t>
  </si>
  <si>
    <t xml:space="preserve">$175,000,</t>
  </si>
  <si>
    <t xml:space="preserve">Adoption of Resolution Approving Fourth Amendment to BOS Agreement No. 22-201 (Department of Transportation Agreement Number 220007) for Professional Engineering Design Services with GHD, Inc. in the Amount of $175,000, for a New Agreement Total of $2,445,000, for the North State Street Intersection Improvements Phase 1 Project, County Road 104 (Ukiah Area)
Vote Requirement:  Majority</t>
  </si>
  <si>
    <t xml:space="preserve">Award a Professional Services Agreement to HR Green Pacific, Inc. for Engineering Design Services for Benson Avenue Safe Routes to School Improvements (ST262).</t>
  </si>
  <si>
    <t xml:space="preserve">(909) 334-3192</t>
  </si>
  <si>
    <t xml:space="preserve">$795,000</t>
  </si>
  <si>
    <t xml:space="preserve">ATP Grant Letter - Authorize the City Manager to issue a letter to the California Transportation Commission terminating an Active Transportation Program grant of $795,000 that was awarded to the City of Visalia for construction of the Goshen - Visalia Corridor improvement project, from Mooney Boulevard to Giddings Street; and to include a statement of support in the letter from the City to reprogr</t>
  </si>
  <si>
    <t xml:space="preserve">Dexter Valencia</t>
  </si>
  <si>
    <t xml:space="preserve">(559) 713-4655</t>
  </si>
  <si>
    <t xml:space="preserve">Signs</t>
  </si>
  <si>
    <t xml:space="preserve">$300,000</t>
  </si>
  <si>
    <t xml:space="preserve">Subject: 	Professional Services Agreement With Barretto, Co. For Signage And Wayfinding Services
From: 		Office Of The City Administrator
Recommendation: Adopt A Resolution (1) Authorizing The City Administrator To Enter Into A Professional Services Agreement With Barretto-Co. LLC, An Oakland Certified Small Local Business Enterprise, For Signage And Wayfinding Graphic Design Services At 250 Fra</t>
  </si>
  <si>
    <t xml:space="preserve">Stephan Kaplan</t>
  </si>
  <si>
    <t xml:space="preserve">(510) 615-5776</t>
  </si>
  <si>
    <t xml:space="preserve">Design engineer hired - construction bid next. Voted 130 days ago, so the job is still ahead and not yet on bid sites.  has a contact.</t>
  </si>
  <si>
    <t xml:space="preserve">Approve Task Order for Engineering Design Services for the O’Day Short Elementary Safe Routes to School Project</t>
  </si>
  <si>
    <t xml:space="preserve">Design engineer hired - construction bid next. Voted 134 days ago, so the job is still ahead and not yet on bid sites.  has a contact.</t>
  </si>
  <si>
    <t xml:space="preserve">Approve Amendment No. 4 to Task Order No. 4 for Design Services with KOA, a Lochner Company, for the Sierra Avenue at Riverside Avenue Traffic Signal Project (SQ-87-DE-19)</t>
  </si>
  <si>
    <t xml:space="preserve">Applying for safety grant (HSIP Cycle 13 / SS4A)</t>
  </si>
  <si>
    <t xml:space="preserve">Approve a request for letters of support for the City's applications to the California Department of Transportation Highway Safety Improvement Program Grant (Public Works Department)</t>
  </si>
  <si>
    <t xml:space="preserve">Build 2027-28; design starts after award</t>
  </si>
  <si>
    <t xml:space="preserve">Jill Gormley, TE, Asst Director - Traffic Engineering (email not public; Public Works 559-621-8650)</t>
  </si>
  <si>
    <t xml:space="preserve">(559) 621-7387</t>
  </si>
  <si>
    <t xml:space="preserve">Application for Federal Highway Safety Improvement Program Grant Funds for Arrow Route Safety Improvements</t>
  </si>
  <si>
    <t xml:space="preserve">Lynn Merrill, Director of Public Works (909-384-5140)</t>
  </si>
  <si>
    <t xml:space="preserve">John Branch</t>
  </si>
  <si>
    <t xml:space="preserve">(909) 453-6246</t>
  </si>
  <si>
    <t xml:space="preserve">Applied for a state/federal safety grant 30 days ago. Money not won yet (awards expected 2027) - good for an early relationship, not an intro this month. has a contact.</t>
  </si>
  <si>
    <t xml:space="preserve">$10,360,000</t>
  </si>
  <si>
    <t xml:space="preserve">***RESOLUTION - Authorizing the Submission of Grant Applications to the California Department of Transportation Highway Safety Improvement Program Cycle 13 Call for Projects totaling up to $10,360,000 in Requests for Funding; and Authorizing the Execution of Grant Applications and Acceptance of Grant Funds and Execution of Grant Agreement Documents by the Public Works Director or Designee (Subject</t>
  </si>
  <si>
    <t xml:space="preserve">Applied for a state/federal safety grant 42 days ago. Money not won yet (awards expected 2027) - good for an early relationship, not an intro this month. has a contact.</t>
  </si>
  <si>
    <t xml:space="preserve">Traffic calming</t>
  </si>
  <si>
    <t xml:space="preserve">***RESOLUTION - Exempting Applications for Speed Humps on Local Streets Adjacent to Public and Private K-12 School Campuses from Certain Requirements of Resolution No. 2022-035 (Residential Street Speed Hump Policy) (Subject to Mayor Veto)</t>
  </si>
  <si>
    <t xml:space="preserve">Authorization to Apply for Transportation Grants: Highway Safety Improvement Program (Cycle 13) and the California Transportation Commission’s Local Partnership Program</t>
  </si>
  <si>
    <t xml:space="preserve">Traffic Engineering via 311@cityofsacramento.org; Hector Barron, Traffic Engineer (916-808-2669, may be dated)</t>
  </si>
  <si>
    <t xml:space="preserve">Radio Engineer</t>
  </si>
  <si>
    <t xml:space="preserve">(916) 808-8785</t>
  </si>
  <si>
    <t xml:space="preserve">$10,000,000</t>
  </si>
  <si>
    <t xml:space="preserve">Request City Council to: (1) Authorize Staff to Submit an Application for the Cycle 13 Highway Safety Improvement Program in the Amount of $10,000,000; and (2) Authorize the City Manager or Their Designee to Execute all Related Documents.</t>
  </si>
  <si>
    <t xml:space="preserve">Public Works, 150 S. Palm Ave (City Engineer oversees traffic)</t>
  </si>
  <si>
    <t xml:space="preserve">Utilities Department</t>
  </si>
  <si>
    <t xml:space="preserve">(909) 820-2525</t>
  </si>
  <si>
    <t xml:space="preserve">Applied for a state/federal safety grant 56 days ago. Money not won yet (awards expected 2027) - good for an early relationship, not an intro this month. has a contact.</t>
  </si>
  <si>
    <t xml:space="preserve">Signals/beacons, Striping/markings, Signs</t>
  </si>
  <si>
    <t xml:space="preserve">$6 million</t>
  </si>
  <si>
    <t xml:space="preserve">Authorize submittal of Fiscal Year 2026 HSIP Cycle XII grant application to California Department of Transportation (CALTRANS) for total estimated project cost of $6 million including approximately $600,000 in required 10 percent City match funds, to construct traffic safety improvements at various locations citywide including installation of street lights, fiber communications, signal timing oper</t>
  </si>
  <si>
    <t xml:space="preserve">$828,800</t>
  </si>
  <si>
    <t xml:space="preserve">Retroactively authorize Department of Public Works and Planning’s submittal of one Safe Streets and Roads for All Retroreflectivity Signage and Lighting Study Improvement Plan FY 2025 Grant Application ($828,800); approve the draft form of Grant Agreement with the United States Department of Transportation’s Federal Highway Administration, including its Certifications and Assurances; and authorize</t>
  </si>
  <si>
    <t xml:space="preserve">Steven E. White, Director of Public Works (stwhite@fresnocountyca.gov, 559-600-4537); Bernard Jimenez, Asst Director (bjimenez@fresnocountyca.gov); Design: DesignServices@fresnocountyca.gov</t>
  </si>
  <si>
    <t xml:space="preserve">ITSD Radio</t>
  </si>
  <si>
    <t xml:space="preserve">(559) 600-7527</t>
  </si>
  <si>
    <t xml:space="preserve">PONDEROSA ONE, LLC / 80 CLEAR CREEK ROAD / VIEWSHED PROTECTION PROGRAM APPLICATION #P22-00182-VIEW &amp; ROADS &amp; STREET STANDARDS EXCEPTION
CEQA Status: Consideration and possible adoption of a Mitigated Negative Declaration and Mitigation Monitoring &amp; Reporting Program (MMRP). According to the proposed Mitigated Negative Declaration and MMRP, the proposed project would not have any potentially signi</t>
  </si>
  <si>
    <t xml:space="preserve">Telecommunications Supervisor</t>
  </si>
  <si>
    <t xml:space="preserve">(707) 258-7867</t>
  </si>
  <si>
    <t xml:space="preserve">Signals/beacons</t>
  </si>
  <si>
    <t xml:space="preserve">Approve Planning Application Numbers PA23-0327 and PA23-0251, Located at 45100 Redhawk Parkway Within the Redhawk Specific Plan</t>
  </si>
  <si>
    <t xml:space="preserve">Information Technology Director</t>
  </si>
  <si>
    <t xml:space="preserve">(951) 308-6300</t>
  </si>
  <si>
    <t xml:space="preserve">Adopt Four Resolutions to Authorize the City Manager to File Applications for Alameda County Transportation Commission Administered Funding for: 1) the Regional Emergency Stabilization for Coastal Utility and Egress (RESCUE); 2) East 14th Street North Area Pedestrian Lighting; 3) Fairway Drive Traffic Calming; and 4) Safe Routes to School Pedestrian Safety Enhancements Projects, and Committing any</t>
  </si>
  <si>
    <t xml:space="preserve">(510) 667-7788</t>
  </si>
  <si>
    <t xml:space="preserve">Applied for a state/federal safety grant 150 days ago. Money not won yet (awards expected 2027) - good for an early relationship, not an intro this month. has a contact.</t>
  </si>
  <si>
    <t xml:space="preserve">Grant Applications to the California Department of Transportation for Active Transportation Program Cycle 8 Call for Projects to Develop a High Desert Safe Routes to School Plan and to Construct Pedestrian Safety Improvements and Infrastructure</t>
  </si>
  <si>
    <t xml:space="preserve">Early planning / council discussion</t>
  </si>
  <si>
    <t xml:space="preserve">Citywide Traffic Signal Timing Update</t>
  </si>
  <si>
    <t xml:space="preserve">6-18 months</t>
  </si>
  <si>
    <t xml:space="preserve">Request for Speed Humps On Muirfield Road Between Overlocok Parkway and Golden Star Avenue</t>
  </si>
  <si>
    <t xml:space="preserve">Safe Routes to School Final Report, Fiscal Year 2025-26</t>
  </si>
  <si>
    <t xml:space="preserve">(650) 903-6385</t>
  </si>
  <si>
    <t xml:space="preserve">Fairway Drive Traffic Calming MTC Complete Streets Checklist</t>
  </si>
  <si>
    <t xml:space="preserve">Radar Feedback Signage - Verbal Update</t>
  </si>
  <si>
    <t xml:space="preserve">Radio Shop</t>
  </si>
  <si>
    <t xml:space="preserve">(909) 620-2007</t>
  </si>
  <si>
    <t xml:space="preserve">Wayfinding Signage - Verbal Update</t>
  </si>
  <si>
    <t xml:space="preserve">$217,991</t>
  </si>
  <si>
    <t xml:space="preserve">Authorize Option A to continue implementing minor signing/striping and signal timing modifications as needed at Madison Street and Emerald Street - Alternatively, authorize Option B to issue repayment of  $217,991 to proceed with reversion of HAWK signal operation at Madison Street and Emerald Street back to all-way stop control - Appropriate $264,961 in the Measure A Fund, HAWK Signals Project ex</t>
  </si>
  <si>
    <t xml:space="preserve">Review Complete Streets Checklist for Fernside Traffic Calming and Bikeways Project (Discussion)</t>
  </si>
  <si>
    <t xml:space="preserve">Cody Moxley</t>
  </si>
  <si>
    <t xml:space="preserve">(510) 755-7006</t>
  </si>
  <si>
    <t xml:space="preserve">Striping/markings</t>
  </si>
  <si>
    <t xml:space="preserve">Implement three-year pilot project to temporarily convert Linden Street between Chicago and Iowa Avenues from four-lane roadway to two-lane roadway with striped two-way left-turn lane median and buffered bike lanes (Ward 2)
</t>
  </si>
  <si>
    <t xml:space="preserve">Salinas</t>
  </si>
  <si>
    <t xml:space="preserve">East Laurel Drive at Granada Avenue Crosswalk</t>
  </si>
  <si>
    <t xml:space="preserve">Orange</t>
  </si>
  <si>
    <t xml:space="preserve">First Amendment to Agreement with Nextechnology Systems, LLC dba Nextech Systems, Inc. for as-needed procurement and technical support of rectangular rapid-flashing beacon signs and related electrical devices</t>
  </si>
  <si>
    <t xml:space="preserve">Rejection of all bids received for Traffic Signal Installation and Fiber Optic Communication for Walnut Avenue and Orange Street and authorization to re-advertise for bids</t>
  </si>
  <si>
    <t xml:space="preserve">Vision Zero Traffic Safety Status Report.</t>
  </si>
  <si>
    <t xml:space="preserve">(408) 794-1260</t>
  </si>
  <si>
    <t xml:space="preserve">$36,000</t>
  </si>
  <si>
    <t xml:space="preserve">SUBJECT: Approval of Supplemental Agreement with Union Pacific Railroad in the not-to-Exceed Amount of $36,000 for Preliminary Engineering Services for the Installation of an Interconnect with a Traffic Signal at Highway 59 and the Railroad Spur, Project No. CP260040
REPORT IN BRIEF 
Considers approving a supplemental agreement with Union Pacific Railroad for preliminary engineering services for </t>
  </si>
  <si>
    <t xml:space="preserve">(209) 385-6800</t>
  </si>
  <si>
    <t xml:space="preserve">Intersection Improvements (Moonspinner Street and West Preserve Loop).</t>
  </si>
  <si>
    <t xml:space="preserve">Approve and Authorize Execution of Amendment No. 1 to the Cooperative Agreement No. C-1-3598 between Orange County Transportation Authority (OCTA) and Cities of Huntington Beach, Santa Ana, Tustin, and Westminster for the First Street/Bolsa Avenue Regional Traffic Signal Synchronization Program Project</t>
  </si>
  <si>
    <t xml:space="preserve">Laurie Hill</t>
  </si>
  <si>
    <t xml:space="preserve">(714) 374-1796</t>
  </si>
  <si>
    <t xml:space="preserve">$100,000</t>
  </si>
  <si>
    <t xml:space="preserve">Approve an Increase to the Not-to-Exceed Amount with JTB Supply Co., Inc. to Purchase Traffic Signal Equipment
It is recommended that the City Council approve an increase to the total not-to-exceed amount with JTB Supply Co., Inc. from $100,000 to $175,000 for the purchase of as-needed traffic signal equipment through the remainder of FY2026-27.</t>
  </si>
  <si>
    <t xml:space="preserve">Consider recommendations regarding supporting Caltrans Traffic Control Measures on State Route 192 (East Valley Road), and State Route 192 (Foothill Road and Casitas Pass Road), First District, as follows:
a) Adopt a Resolution to support the California Department of Transportation in exercising its authority to install “No Parking” signage within State right-of-way on:
i) State Route 192 (east </t>
  </si>
  <si>
    <t xml:space="preserve">Electronic Maintenance - Radioshop</t>
  </si>
  <si>
    <t xml:space="preserve">(805) 564-5555</t>
  </si>
  <si>
    <t xml:space="preserve">Project Acceptance of the Coventry Street and Victor Street Traffic Calming Devices, CIP No. 9163</t>
  </si>
  <si>
    <t xml:space="preserve">HARBOR BOULEVARD AND LA ENTRADA PLACE TRAFFIC SIGNAL EQUIPMENT PURCHASE</t>
  </si>
  <si>
    <t xml:space="preserve">Adopt a resolution: 
A)	Approving and adopting the Department of Housing Parking Policy for Stone Pine Cove, an affordable farmworker housing community located in the City of Half Moon Bay; and 
B)	Authorizing the Director of the Department of Housing, or the Director’s designee, to administer and enforce the Department of Housing Parking Policy through citation and/or towing, as authorized </t>
  </si>
  <si>
    <t xml:space="preserve">Fcc Manager</t>
  </si>
  <si>
    <t xml:space="preserve">(650) 363-4442</t>
  </si>
  <si>
    <t xml:space="preserve">Support the proposed Old Town Wayfinding Signage Project, Christine Damko</t>
  </si>
  <si>
    <t xml:space="preserve">[Contract] Vision Zero School Safety Project (T15235600) [Published for 10-Day Review on 08/21/2026]</t>
  </si>
  <si>
    <t xml:space="preserve">Direct Purchase of Speed Cushions for Traffic Calming</t>
  </si>
  <si>
    <t xml:space="preserve">Hesperia</t>
  </si>
  <si>
    <t xml:space="preserve">$209,780</t>
  </si>
  <si>
    <t xml:space="preserve">Recommended Action:
It is recommended that the City Council:
1.	Approve the purchase of materials for the Traffic Signal- Seventh Avenue and Sequoia Street, C.O. 7173 project in amounts not to exceed $209,780 with American Right-of-Way, Inc. and $49,423 with SWARCO McCain, Inc.; and
2.	Authorize the City Manager to execute the agreements and any other necessary documents for the purchase with Am</t>
  </si>
  <si>
    <t xml:space="preserve">TR271 Intersection Improvements (Moonspinner Street at West Preserve Loop).</t>
  </si>
  <si>
    <t xml:space="preserve">Striping/markings, Traffic calming</t>
  </si>
  <si>
    <t xml:space="preserve">Review and Discuss Restriping of Clement Avenue between Balsa Street and Paru Street, Eliminating On-Street Parking and Creating 14-foot-wide Travel Lanes Including Additional Modifications at Clement and Stanton Street where Existing Concrete Bulb Outs Further Constrain the Lane Widths (Discussion)</t>
  </si>
  <si>
    <t xml:space="preserve">Proposed Project:  
TREE REMOVAL PERMIT: Appeal of a decision by the Director of Community Development denying a TREE REMOVAL PERMIT for one 32-inch diameter Deodar Cedar tree in the front yard.
Location: 1365 Fisher Hawk Drive (APN: 309-05-039), on a 15,892 square foot (0.36 acre) site
File #: PLNG-2026-0293
Zoning: R-0 (Low-density residential zoning district)
Applicant/Appellant/Owner: Michael </t>
  </si>
  <si>
    <t xml:space="preserve">Director Of Information Technology</t>
  </si>
  <si>
    <t xml:space="preserve">(408) 730-2771</t>
  </si>
  <si>
    <t xml:space="preserve">SIGNAL MODERNIZATION FOR SYSTEMIC SAFETY IMPROVEMENTS, FEDERAL PROJECT NO. HSIPL-5312(107), CITY PROJECT NO. 26-01</t>
  </si>
  <si>
    <t xml:space="preserve">Ricardo Alvarado</t>
  </si>
  <si>
    <t xml:space="preserve">(714) 754-5321</t>
  </si>
  <si>
    <t xml:space="preserve">$246,000</t>
  </si>
  <si>
    <t xml:space="preserve">SUBJECT: Adoption of a Resolution Accepting $246,000 in Post-Programming Congestion Mitigation and Air Quality Improvement (CMAQ) Carryover Apportionment Funds for Project No. CP220066 - Merced Traffic Signal Synchronization
REPORT IN BRIEF 
Considers adopting a resolution accepting $246,000 in Post-Programming Congestion Mitigation and Air Quality Improvement (CMAQ) Carryover Apportionment funds</t>
  </si>
  <si>
    <t xml:space="preserve">Update on Kids Crossing: Safe Routes to School in South Fresno - Traffic Signal Completion and School Outreach at Columbia and Storey Elementary. (Public Works Department)</t>
  </si>
  <si>
    <t xml:space="preserve">$289,700,</t>
  </si>
  <si>
    <t xml:space="preserve">Approve Request for Bid 8259 Agreement with Estate Design and Construction, Inc., Culver City, for $289,700, for Third Street and Anderson Avenue High-Intensity Activated Crosswalk (HAWK) Signal for term of 45 working days after commencement date plus 10 percent change order authority of $28,970 to HAWK Signal at 3rd/Anderson Miscellaneous Agency Funding account for total not-to-exceed $318,670 fo</t>
  </si>
  <si>
    <t xml:space="preserve">Linden Street Restriping Pilot project temporarily converting Linden Street between Chicago and Iowa Avenues from four-lane roadway to two-lane roadway with striped two-way left-turn lane median and buffered bike lanes</t>
  </si>
  <si>
    <t xml:space="preserve">Establish new Art Crosswalk and Pavement Mural Pilot Program as local street secondary mitigation measure option under Neighborhood Traffic Management Program (All Wards)
</t>
  </si>
  <si>
    <t xml:space="preserve">$33,000.</t>
  </si>
  <si>
    <t xml:space="preserve">Approve and authorize out of country travel for Board Chair Amber Manfree; Board Vice-Chair Liz Alessio; Agricultural Commissioner/Sealer of Weights and Measures Tracy Cleveland; and Planning, Building, and Environmental Services Director Brian Bordona to attend the Great Wine Capitals Annual 2026 Conference in Hawke’s Bay, New Zealand from October 17-23, 2026, for a cost not to exceed $33,000. (F</t>
  </si>
  <si>
    <t xml:space="preserve">City Park Signage Ad Hoc Subcommittee Pilot Program Update</t>
  </si>
  <si>
    <t xml:space="preserve">Katie Eing</t>
  </si>
  <si>
    <t xml:space="preserve">(714) 222-3400</t>
  </si>
  <si>
    <t xml:space="preserve">Approval of plans and specifications for Walnut Avenue at Orange Street Traffic Signal Installation and authorization to advertise for bids; and finding of California Environmental Quality Act (CEQA) exemption</t>
  </si>
  <si>
    <t xml:space="preserve">$160,000,</t>
  </si>
  <si>
    <t xml:space="preserve">Adopt a Resolution to approve and authorize a Safe Streets and Roads for All Demonstration Grant Agreement No. 270083B with the Federal Highway Administration to provide safety training as part of the Napa Valley Vine Trail (NVVT) - Yountville through St. Helena Gap Closure Project. (Fiscal Impact: $160,000, Accumulated Capital Outlay Fund; Budgeted; Discretionary)</t>
  </si>
  <si>
    <t xml:space="preserve">$145,000</t>
  </si>
  <si>
    <t xml:space="preserve">Authorize a Single Source Purchase Order to SWARCO McCain, Inc. for the Purchase of Traffic Signal Cabinets and Related Materials
It is recommended that the City Council authorize a Single Source Purchase Order to SWARCO McCain, Inc. for traffic signal cabinets and related materials in an amount not-to- exceed $145,000 annually and not-to-exceed $725,000 for a five-year period effective August 1,</t>
  </si>
  <si>
    <t xml:space="preserve">***RESOLUTION - To Exempt 6 Residential Streets in Council District 3 from Certain Requirements of Resolution No. 2022-035, the Residential Street Speed Hump Policy (Subject to Mayor’s Veto)</t>
  </si>
  <si>
    <t xml:space="preserve">Striping/markings, Signs</t>
  </si>
  <si>
    <t xml:space="preserve">Adopt a Resolution Authorizing Public Works Director to Execute a Memorandum of Understanding between the City of Lodi and Lodi Unified School District for Curb Painting and Pavement Markings within the Public Right-of-Way and Reimbursement of Sign Modifications (PW)</t>
  </si>
  <si>
    <t xml:space="preserve">(209) 333-6767</t>
  </si>
  <si>
    <t xml:space="preserve">Acceptance and Improvement Agreements for Interim Road, Crosswalk, and Basin Improvements - Speedway Commerce Center II Development Project in the Fontana Area</t>
  </si>
  <si>
    <t xml:space="preserve">$114,125.00</t>
  </si>
  <si>
    <t xml:space="preserve">SUBJECT: Approval of Public Facilities Impact Fee Credit/Reimbursement Agreement with Stonefield Home, Inc. for improvements on M Street and M Street Circle
REPORT IN BRIEF 
Considers approving Reimbursement of Public Facilities and Impact Fees (PFFP) to Stonefield Home, Inc. in the amount of $114,125.00 for the cost of restriping and minor street modifications to M Street and M Street Circle to </t>
  </si>
  <si>
    <t xml:space="preserve">Vision Zero Action Plan Update Draft Plan</t>
  </si>
  <si>
    <t xml:space="preserve">Parks and Recreation Commission appointment - Approve the Parks and Recreation Commission sub-committee recommendation to reappoint Commissioners Nancy Hawkins and Kaitlyn Lusk to their second terms to the Parks and Recreation Commission.</t>
  </si>
  <si>
    <t xml:space="preserve">Already awarded - winner may need subs/suppliers</t>
  </si>
  <si>
    <t xml:space="preserve">Award of Contract to Calpromax Engineering, Inc. for Traffic Signal Installation and Fiber Optic Communication for Walnut Avenue and Orange Street</t>
  </si>
  <si>
    <t xml:space="preserve">Work starting now</t>
  </si>
  <si>
    <t xml:space="preserve">$405,476,</t>
  </si>
  <si>
    <t xml:space="preserve">Recommendation to: (i) Authorize the City Manager to Execute an Agreement with Chrisp Company for the Lincoln Avenue/Marshall Way/Pacific Avenue Advanced Striping Project, P.W. No. 07-26-03, for a Not-to-Exceed Amount of $405,476, including Contingency; (ii)  Approve Project Plans and Specifications; (iii) Delegate Authority to the City Engineer or Designee to Approve Issued Amendments and Addenda</t>
  </si>
  <si>
    <t xml:space="preserve">$2,000,000</t>
  </si>
  <si>
    <t xml:space="preserve">a. Award Traffic Striping and Signage (TSS) Job Order Contracts for a term of one year from the date signed by County of Monterey (County) with a maximum contract value of $2,000,000 to the following bidders: Specialized Pavement Marking, LLC for TSS 2026-01 and Chrisp Company for TSS 2026-02;
b.  Award Roads &amp; Bridges (R&amp;B) Job Order Contracts for a term of one year from the date signed by Count</t>
  </si>
  <si>
    <t xml:space="preserve">Radio Communications Engineer</t>
  </si>
  <si>
    <t xml:space="preserve">(831) 796-1328</t>
  </si>
  <si>
    <t xml:space="preserve">$2,184,566.58</t>
  </si>
  <si>
    <t xml:space="preserve">Subject: 	98th Avenue Crossing Improvements Construction Contract Award
From: 		Department Of Transportation
Recommendation: Adopt A Resolution Awarding A Construction Contract To Gruendl Inc. DBA Ray’s Electric, Inc., For The Highway Safety Improvement Program (HSIP) Cycle 10, 98th Avenue Crossing Improvements, Project No. 1006186, The Lowest, Responsible, And Responsive Bidder In Accordance Wi</t>
  </si>
  <si>
    <t xml:space="preserve">$2,135,800</t>
  </si>
  <si>
    <t xml:space="preserve">Award Agreement for Construction from Request for Bid 8260 with Crosstown Electrical &amp; Data, Inc., Chino, for $2,135,800 plus 10 percent change order authority, for total of $213,580, for Highway Safety Improvement Program Cycle 12 - Citywide Traffic Signal Controller Replacement Project, Phase 2 for term of ninety working days after commencement date specified in Notice to Proceed - Supplemental </t>
  </si>
  <si>
    <t xml:space="preserve">Fiscal Year 2026-27 Traffic Signal Rehabilitation Project - Award of Contract No. 10209-1 (27T01)</t>
  </si>
  <si>
    <t xml:space="preserve">$1,173,537.00</t>
  </si>
  <si>
    <t xml:space="preserve">Actions pertaining to the Van Ness Boulevard and Clinton Avenue Traffic Signal Modification Project, Bid File Number 12700173 at the intersection of Clinton Avenue and Van Ness Boulevard (Council Districts 1 and 7)
1.	Adopt a finding of Categorical Exemption pursuant to California Environmental Quality Act (CEQA) Guidelines Section 15301/Class1 and Section 15302/Class2 for the Van Ness Boulevard </t>
  </si>
  <si>
    <t xml:space="preserve">Guardrail</t>
  </si>
  <si>
    <t xml:space="preserve">$594,</t>
  </si>
  <si>
    <t xml:space="preserve">Award a Construction Contract to Midstate Barrier, Inc. for the 2026 Annual Guardrail Repair, RDS 26-12, and approve a Budget Amendment. (Fiscal Impact: $594, 879 Expense for the construction contract and other project costs; SB-1 Non-Operating Special Revenue Fund; Not Budgeted; Discretionary)
[4/5 vote required]</t>
  </si>
  <si>
    <t xml:space="preserve">$610,660</t>
  </si>
  <si>
    <t xml:space="preserve">Award contract and appropriation of funds - Authorize the City Manager to award the construction contract to Power Design Electric, for traffic signal improvements at the intersection of W. Ferguson Ave. and N. Mooney Blvd., in the amount of $610,660 and authorize an additional appropriation of Measure R Local funds in the amount of $30,000.</t>
  </si>
  <si>
    <t xml:space="preserve">$1,098,300</t>
  </si>
  <si>
    <t xml:space="preserve">Actions pertaining to the Downtown Neighborhood HAWKs project (Bid File No. 12700027; Council District 3)
1.	Adopt Environmental Assessment No. PW01071, dated June 8, 2026, a finding of Categorical Exemption for the proposed project pursuant to Section 15301/Class1 of the California Environmental Quality Act guidelines
2.	***RESOLUTION - Adopting the 10th Amendment to the Annual Appropriations R</t>
  </si>
  <si>
    <t xml:space="preserve">$139,759.68.</t>
  </si>
  <si>
    <t xml:space="preserve">Award Plaza Park project - Authorize the City Manager to award the resurfacing of tennis and pickleball courts at Plaza Park contract, to Anderson Striping &amp; Construction for an amount not to exceed $139,759.68.</t>
  </si>
  <si>
    <t xml:space="preserve">Award Authorization for Highway Safety Improvement Program Hammond and Mid-Town Crossings</t>
  </si>
  <si>
    <t xml:space="preserve">Communications Division</t>
  </si>
  <si>
    <t xml:space="preserve">(707) 445-7556</t>
  </si>
  <si>
    <t xml:space="preserve">Award a Construction Contract for the Etiwanda Avenue at Slover Avenue/Airport Drive Intersection Improvement Project (DE-26-220-SB)</t>
  </si>
  <si>
    <t xml:space="preserve">$676,229</t>
  </si>
  <si>
    <t xml:space="preserve">Award the construction contract for the HSIP Cycle 11 Silverado Trail Intersection Improvements Project (RDS 22-26) to FBD Vanguard Construction, Inc. in the amount of $676,229; approve Amendment No. 4 to Agreement No. 250052B with Sanderson Bellecci, Inc. (SANBELL) increasing the agreement maximum from $278,668 to $399,925, for construction-phase mitigation monitoring services and approve a Budge</t>
  </si>
  <si>
    <t xml:space="preserve">a. Adopt the County of Monterey 2026 Job Order Contracting (JOC) Construction Task Catalog (CTC), Technical Specifications and Project Specifications for Project JOC 2026 - Roads &amp; Bridges (R&amp;B), Bid Nos. R&amp;B 2026-01, R&amp;B 2026-02, R&amp;B 2026-03, R&amp;B 2026-04, R&amp;B 2026-05 and R&amp;B 2026-06;
b. Adopt the County of Monterey 2026 JOC CTC, Technical Specifications and Project Specifications for Project JOC</t>
  </si>
  <si>
    <t xml:space="preserve">$2,494,685.86</t>
  </si>
  <si>
    <t xml:space="preserve">Subject: 	Construction Contract Award For Highway Safety Improvement Program (HSIP) Cycle 10, 14th Street Safety Project Between Mandela Parkway And Brush Street
From: 		Department Of Transportation
Recommendation: Adopt A Resolution Awarding A Construction Contract To Gruendl Inc. DBA Ray’s Electric, Inc., For The Highway Safety Improvement Program (HSIP) Cycle 10, 14th Street Safety Project Be</t>
  </si>
  <si>
    <t xml:space="preserve">Award Authorization for Highway Safety Improvement Program Edgelines on Indian Reservation Road Systems</t>
  </si>
  <si>
    <t xml:space="preserve">Buyer (agency)</t>
  </si>
  <si>
    <t xml:space="preserve">County</t>
  </si>
  <si>
    <t xml:space="preserve">Project cost ($)</t>
  </si>
  <si>
    <t xml:space="preserve">State/federal funds ($)</t>
  </si>
  <si>
    <t xml:space="preserve">Category</t>
  </si>
  <si>
    <t xml:space="preserve">What will be built</t>
  </si>
  <si>
    <t xml:space="preserve">Caltrans project ID</t>
  </si>
  <si>
    <t xml:space="preserve">Los Angeles County</t>
  </si>
  <si>
    <t xml:space="preserve">BCR</t>
  </si>
  <si>
    <t xml:space="preserve">Various locations throughout the City of Long Beach.</t>
  </si>
  <si>
    <t xml:space="preserve">Install/upgrade signs with new fluorescent sheeting.</t>
  </si>
  <si>
    <t xml:space="preserve">Wireless Communications Officer</t>
  </si>
  <si>
    <t xml:space="preserve">(562) 570-4802</t>
  </si>
  <si>
    <t xml:space="preserve">H12-07-020</t>
  </si>
  <si>
    <t xml:space="preserve">120 Signalized Intersections citywide.</t>
  </si>
  <si>
    <t xml:space="preserve">Improve signal hardware; install pedestrian countdown signal heads; install APS; and implement leading pedestrian interval (LPI).</t>
  </si>
  <si>
    <t xml:space="preserve">(818) 548-3733</t>
  </si>
  <si>
    <t xml:space="preserve">H12-07-014</t>
  </si>
  <si>
    <t xml:space="preserve">Various locations.</t>
  </si>
  <si>
    <t xml:space="preserve">Install / upgrade signs with new fluorescent sheeting.</t>
  </si>
  <si>
    <t xml:space="preserve">(925) 671-3220</t>
  </si>
  <si>
    <t xml:space="preserve">H12-04-002</t>
  </si>
  <si>
    <t xml:space="preserve">Forty Mile Road between Rosser Road and the north entrance to the Hard Rock Hotel &amp; Casino.</t>
  </si>
  <si>
    <t xml:space="preserve">Construct shared-use path, install segment lighting, K-Rail barrier, traffic signs, and pavement markings.</t>
  </si>
  <si>
    <t xml:space="preserve">Supv. Comm Technician</t>
  </si>
  <si>
    <t xml:space="preserve">(530) 740-7100</t>
  </si>
  <si>
    <t xml:space="preserve">H12-03-028</t>
  </si>
  <si>
    <t xml:space="preserve">Various locations throughout Trinity County.</t>
  </si>
  <si>
    <t xml:space="preserve">Install stripes utilizing weather resistant paint and optical elements to achieve retroreflectivity at night.</t>
  </si>
  <si>
    <t xml:space="preserve">Mike Cottone, Project Specialist</t>
  </si>
  <si>
    <t xml:space="preserve">(530) 623-2611</t>
  </si>
  <si>
    <t xml:space="preserve">H12-02-001</t>
  </si>
  <si>
    <t xml:space="preserve">Fifteen (15) intersections in unincorporated San Joaquin County.</t>
  </si>
  <si>
    <t xml:space="preserve">Install intersection lighting and advance warning flashing beacons.</t>
  </si>
  <si>
    <t xml:space="preserve">Isd-Communications</t>
  </si>
  <si>
    <t xml:space="preserve">(209) 953-4357</t>
  </si>
  <si>
    <t xml:space="preserve">H12-10-005</t>
  </si>
  <si>
    <t xml:space="preserve">State-funded (HSIP Cycle 12, Feb 2025) $5,418,000 signals/beacons, signs job. Money is approved and most Cycle 12 jobs bid 2026-27. Check the agency's bid page first - some may already be out to bid.</t>
  </si>
  <si>
    <t xml:space="preserve">San Bernardino County</t>
  </si>
  <si>
    <t xml:space="preserve">108 signalized intersections citywide.</t>
  </si>
  <si>
    <t xml:space="preserve">Install new signal heads and controllers and implement leading pedestrian intervals (LPIs).</t>
  </si>
  <si>
    <t xml:space="preserve">H12-08-029</t>
  </si>
  <si>
    <t xml:space="preserve">64 signalized intersections citywide.</t>
  </si>
  <si>
    <t xml:space="preserve">Install retro-reflective backplates, replace signal heads, implement leading pedestrian interval (LPI) and provide protected left turn phasing.</t>
  </si>
  <si>
    <t xml:space="preserve">Radio Maintenance</t>
  </si>
  <si>
    <t xml:space="preserve">(626) 939-8500</t>
  </si>
  <si>
    <t xml:space="preserve">H12-07-046</t>
  </si>
  <si>
    <t xml:space="preserve">Avenue 56 from E. Sutter Ave. (Earlimart) to Road 232 (Ducor) (12mi), Road 152 from Avenue 144 to Avenue 232 (11mi), Road 224 from Avenue 168 (Canal) to Avenue 192 (3mi), and Avenue 256 from Mooney Blvd. to Road 196 (SR 65) (10mi).</t>
  </si>
  <si>
    <t xml:space="preserve">Upgrade and install signs, centerline and edgeline rumble strips, a left-turn lane, and flashing beacons.</t>
  </si>
  <si>
    <t xml:space="preserve">Eric J Ott</t>
  </si>
  <si>
    <t xml:space="preserve">(559) 622-7150</t>
  </si>
  <si>
    <t xml:space="preserve">H12-06-029</t>
  </si>
  <si>
    <t xml:space="preserve">San Francisco County</t>
  </si>
  <si>
    <t xml:space="preserve">Install new and replace existing signs (e.g., No Turn on Red, Speed Limit near schools, “Slow—School Xing”, and Yield/Ped Signs) to feature advanced high-visibility fluorescent sheeting.</t>
  </si>
  <si>
    <t xml:space="preserve">Kal Outly</t>
  </si>
  <si>
    <t xml:space="preserve">(650) 821-3642</t>
  </si>
  <si>
    <t xml:space="preserve">H12-04-043</t>
  </si>
  <si>
    <t xml:space="preserve">State-funded (HSIP Cycle 12, Feb 2025) $4,395,000 signals/beacons, signs, guardrail job. Money is approved and most Cycle 12 jobs bid 2026-27. Check the agency's bid page first - some may already be out to bid.</t>
  </si>
  <si>
    <t xml:space="preserve">Lake Elsinore</t>
  </si>
  <si>
    <t xml:space="preserve">Riverside County</t>
  </si>
  <si>
    <t xml:space="preserve">Signals/beacons, Signs, Guardrail</t>
  </si>
  <si>
    <t xml:space="preserve">Railroad Canyon Road from Summerhill Drive/Grape Street to Eastern City Boundary.</t>
  </si>
  <si>
    <t xml:space="preserve">Relocate utility poles and install guardrails near Church Rd. Install high friction surface treatment (HFST), LED/flashing beacon chevron and "Curve Ahead" signs, and additional reflectors along curved segments. Improve signal hardware and signal timing.</t>
  </si>
  <si>
    <t xml:space="preserve">H12-08-016</t>
  </si>
  <si>
    <t xml:space="preserve">State-funded (HSIP Cycle 12, Feb 2025) $4,134,700 signals/beacons, signs job. Money is approved and most Cycle 12 jobs bid 2026-27. Check the agency's bid page first - some may already be out to bid.</t>
  </si>
  <si>
    <t xml:space="preserve">Various traffic signal locations.</t>
  </si>
  <si>
    <t xml:space="preserve">Install improved traffic signal hardware, intersection lighting, and install leading pedestrian intervals (LPIs).</t>
  </si>
  <si>
    <t xml:space="preserve">H12-05-011</t>
  </si>
  <si>
    <t xml:space="preserve">State-funded (HSIP Cycle 12, Feb 2025) $3,576,000 signals/beacons, signs job. Money is approved and most Cycle 12 jobs bid 2026-27. Check the agency's bid page first - some may already be out to bid.</t>
  </si>
  <si>
    <t xml:space="preserve">Intersections of Orangethorpe Ave at Harbor Blvd, Orangethorpe Ave at Euclid St, Orangethorpe Ave at Brookhurst Rd, Orangethorpe Ave at Magnolia Ave, Harbor Blvd at Commonwealth Ave, and Harbor Blvd at Chapman Ave.</t>
  </si>
  <si>
    <t xml:space="preserve">Improve signal hardware and install intersection lighting. Provide protected left turn phase.</t>
  </si>
  <si>
    <t xml:space="preserve">H12-12-003</t>
  </si>
  <si>
    <t xml:space="preserve">State-funded (HSIP Cycle 12, Feb 2025) $3,156,900 signals/beacons, striping/markings, signs job. Money is approved and most Cycle 12 jobs bid 2026-27. Check the agency's bid page first - some may already be out to bid.</t>
  </si>
  <si>
    <t xml:space="preserve">Montclair</t>
  </si>
  <si>
    <t xml:space="preserve">Benson Avenue between Arrow Highway and Holt Boulevard.</t>
  </si>
  <si>
    <t xml:space="preserve">Implement a road diet, install Class II bike lanes, right and left turn lanes, pedestrian countdown signal heads, and upgrade intersection pavement markings and pedestrian crossing at uncontrolled locations. </t>
  </si>
  <si>
    <t xml:space="preserve">H12-08-021</t>
  </si>
  <si>
    <t xml:space="preserve">11 signalized intersections.</t>
  </si>
  <si>
    <t xml:space="preserve">Upgrades signals to provide protected left turn phasing at 8 intersections, upgrade signal visibility at 3 signals, and provide pedestrian countdown heads.
</t>
  </si>
  <si>
    <t xml:space="preserve">Captain</t>
  </si>
  <si>
    <t xml:space="preserve">(562) 989-7209</t>
  </si>
  <si>
    <t xml:space="preserve">H12-07-036</t>
  </si>
  <si>
    <t xml:space="preserve">State-funded (HSIP Cycle 12, Feb 2025) $2,903,300 signals/beacons, striping/markings, signs job. Money is approved and most Cycle 12 jobs bid 2026-27. Check the agency's bid page first - some may already be out to bid.</t>
  </si>
  <si>
    <t xml:space="preserve">Coachella</t>
  </si>
  <si>
    <t xml:space="preserve">Cesar Chavez St roadway and all signalized intersections from Park Ln to Ave 53. Nearby intersections: Ave 52 at Douma St; Cesar Chavez St access road at Ave 53; Cesar Chavez St at Bagdad Ave; Cesar Chavez St at Cairo St; Date Ave at Araby Ave.</t>
  </si>
  <si>
    <t xml:space="preserve">Install protected bike lanes, pedestrian countdown signal heads and ADA-compliant audible push buttons, leading pedestrian intervals (LPIs), crosswalks, ADA-compliant curb ramps, curb extensions, pedestrian hybrid beacons, and raised medians.</t>
  </si>
  <si>
    <t xml:space="preserve">H12-08-007</t>
  </si>
  <si>
    <t xml:space="preserve">State-funded (HSIP Cycle 12, Feb 2025) $2,893,400 signals/beacons, signs job. Money is approved and most Cycle 12 jobs bid 2026-27. Check the agency's bid page first - some may already be out to bid.</t>
  </si>
  <si>
    <t xml:space="preserve">Vista</t>
  </si>
  <si>
    <t xml:space="preserve">E. Vista Way from Williamston Street to Taylor Street.</t>
  </si>
  <si>
    <t xml:space="preserve">Install a raised median with directional median openings, pedestrian fencing at key locations, new or upgraded signs with fluorescent sheeting, retro-reflective backplates at existing traffic signals.</t>
  </si>
  <si>
    <t xml:space="preserve">H12-11-014</t>
  </si>
  <si>
    <t xml:space="preserve">40 signalized intersections citywide.</t>
  </si>
  <si>
    <t xml:space="preserve">Install retro-reflective backplates, pedestrian countdown signal heads, and leading pedestrian interval (LPI).</t>
  </si>
  <si>
    <t xml:space="preserve">Mandy Wong</t>
  </si>
  <si>
    <t xml:space="preserve">(626) 569-2168</t>
  </si>
  <si>
    <t xml:space="preserve">H12-07-028</t>
  </si>
  <si>
    <t xml:space="preserve">Marin County</t>
  </si>
  <si>
    <t xml:space="preserve">The Lincoln Avenue corridor between Second Street and Paloma Avenue, including eight (8) intersections.</t>
  </si>
  <si>
    <t xml:space="preserve">Install protected left turn lane striping and signal phases, add intersection safety improvements with traffic signal upgrades, intersection lighting, rectangular rapid flashing beacons (RRFBs), and pedestrian crossing upgrades.</t>
  </si>
  <si>
    <t xml:space="preserve">(415) 473-7242</t>
  </si>
  <si>
    <t xml:space="preserve">H12-04-048</t>
  </si>
  <si>
    <t xml:space="preserve">Signalized intersections: 42 traffic signals; Cottage Ave &amp; North St, Yosemite Ave &amp; Fremont St.; Unsignalized intersection: Spreckels Ave &amp; Norman Dr.; Roadway segments: Mission Ridge Dr (Syrah Ct to S Main St) and Yosemite Ave (Cottage to Commerce  Ave).</t>
  </si>
  <si>
    <t xml:space="preserve">Implement systemic signal improvements: retro-reflective backplates and leading pedestrian interval (LPI) at 42 signals; install protected left-turn phases at two signals; implement pedestrian crossing improvements at the unsignalized intersection; install roadway median and lighting improvements.</t>
  </si>
  <si>
    <t xml:space="preserve">Peni Basalusalu</t>
  </si>
  <si>
    <t xml:space="preserve">(209) 825-2570</t>
  </si>
  <si>
    <t xml:space="preserve">H12-10-002</t>
  </si>
  <si>
    <t xml:space="preserve">Various road sections throughout Butte County.</t>
  </si>
  <si>
    <t xml:space="preserve">Peform road safety signing audit (RSSA) and modify signage.</t>
  </si>
  <si>
    <t xml:space="preserve">Timothy Schuster</t>
  </si>
  <si>
    <t xml:space="preserve">(530) 552-5692</t>
  </si>
  <si>
    <t xml:space="preserve">H12-03-002</t>
  </si>
  <si>
    <t xml:space="preserve">Arterial Roadway of Harbor Street from Buchanan Road to East 3rd Street.</t>
  </si>
  <si>
    <t xml:space="preserve">Improve signal hardware (cabinets, signal heads, signal pole, loops, backplate, controllers, backup battery systems, and camera), install light roadway segment improvements, and upgrade pedestrian crossing with enhanced safety features.</t>
  </si>
  <si>
    <t xml:space="preserve">(925) 252-4936</t>
  </si>
  <si>
    <t xml:space="preserve">H12-04-041</t>
  </si>
  <si>
    <t xml:space="preserve">At various locations along curves.</t>
  </si>
  <si>
    <t xml:space="preserve">Install speed feedback signs and curve warning signs.</t>
  </si>
  <si>
    <t xml:space="preserve">Telecommunications Division</t>
  </si>
  <si>
    <t xml:space="preserve">(925) 313-1200</t>
  </si>
  <si>
    <t xml:space="preserve">H12-04-009</t>
  </si>
  <si>
    <t xml:space="preserve">State-funded (HSIP Cycle 12, Feb 2025) $2,361,200 signals/beacons job. Money is approved and most Cycle 12 jobs bid 2026-27. Check the agency's bid page first - some may already be out to bid.</t>
  </si>
  <si>
    <t xml:space="preserve">Four (4) non-signalized intersections: Calle Cesar Chavez at Yanonali, Garden &amp; Cota, Milpas Roundabout, and Yanonali at Helena.</t>
  </si>
  <si>
    <t xml:space="preserve">Implement pedestrian crossing improvements, including intersection lighting, rectangular rapid flashing beacons (RRFBs), and curb extensions.</t>
  </si>
  <si>
    <t xml:space="preserve">H12-05-012</t>
  </si>
  <si>
    <t xml:space="preserve">State-funded (HSIP Cycle 12, Feb 2025) $2,309,300 striping/markings job. Money is approved and most Cycle 12 jobs bid 2026-27. Check the agency's bid page first - some may already be out to bid.</t>
  </si>
  <si>
    <t xml:space="preserve">University of California - Santa Cruz</t>
  </si>
  <si>
    <t xml:space="preserve">Santa Cruz County</t>
  </si>
  <si>
    <t xml:space="preserve">Hagar Drive on the UCSC Campus from Coolidge Drive to East Remote Parking Lot (0.7 miles).</t>
  </si>
  <si>
    <t xml:space="preserve">Install three compact roundabouts, add vertical reflectors on curves and add new delineators to create protected bike lanes.</t>
  </si>
  <si>
    <t xml:space="preserve">H12-05-023</t>
  </si>
  <si>
    <t xml:space="preserve">10 intersections: Route 66 at Grand, Lone Hill, Pasadena, Loraine, Elwood, Glendora, Amelia, and Vermont; Grand Ave at Gladstone; and Glendora Ave at Baseline.</t>
  </si>
  <si>
    <t xml:space="preserve">Convert signals from pedestal-mounted to mast arms at 8 intersections; and impove signal hardware at 2 intersections.</t>
  </si>
  <si>
    <t xml:space="preserve">Katie Dang</t>
  </si>
  <si>
    <t xml:space="preserve">(626) 914-8276</t>
  </si>
  <si>
    <t xml:space="preserve">H12-07-017</t>
  </si>
  <si>
    <t xml:space="preserve">Santa Clara County</t>
  </si>
  <si>
    <t xml:space="preserve">All city owned and maintained traffic signals (72); three (3) unsignalized intersections; and N McCarthy Blvd curve 500 feet south of the city boundary between Milpitas and Fremont.</t>
  </si>
  <si>
    <t xml:space="preserve">Install retroreflective backplates and leading pedestrian interval (LPI), improve visibility with signage, daylighting and beacons, and improve horizontal curve.</t>
  </si>
  <si>
    <t xml:space="preserve">Support Services Manager</t>
  </si>
  <si>
    <t xml:space="preserve">(408) 586-2969</t>
  </si>
  <si>
    <t xml:space="preserve">H12-04-028</t>
  </si>
  <si>
    <t xml:space="preserve">The intersections at Fred Russo Lane and March Lane, Precissi Lane and March Lane, and Montauban Avenue and Hammer Lane.</t>
  </si>
  <si>
    <t xml:space="preserve">Install protected left-turn signal heads, larger signal lens, retro-reflective back-plates, high reflectivity lane and crosswalk markings, traffic video detection system, and accessible pedestrian signals &amp; near side signal heads at select locations.</t>
  </si>
  <si>
    <t xml:space="preserve">Terrell Harper</t>
  </si>
  <si>
    <t xml:space="preserve">(209) 937-8254</t>
  </si>
  <si>
    <t xml:space="preserve">H12-10-008</t>
  </si>
  <si>
    <t xml:space="preserve">State-funded (HSIP Cycle 12, Feb 2025) $2,110,100 signals/beacons, striping/markings, signs job. Money is approved and most Cycle 12 jobs bid 2026-27. Check the agency's bid page first - some may already be out to bid.</t>
  </si>
  <si>
    <t xml:space="preserve">Pico Rivera</t>
  </si>
  <si>
    <t xml:space="preserve">Eleven (11) signalized Intersections and one roadway segment: Paramount Blvd from Goodbee St to Unser St.</t>
  </si>
  <si>
    <t xml:space="preserve">Add left turn phase, convert pedestal mounted signal head to mast arms, and install striping through intersection; for the roadway segment: install raised median.</t>
  </si>
  <si>
    <t xml:space="preserve">H12-07-026</t>
  </si>
  <si>
    <t xml:space="preserve">State-funded (HSIP Cycle 12, Feb 2025) $2,038,400 signals/beacons, striping/markings job. Money is approved and most Cycle 12 jobs bid 2026-27. Check the agency's bid page first - some may already be out to bid.</t>
  </si>
  <si>
    <t xml:space="preserve">Alameda County</t>
  </si>
  <si>
    <t xml:space="preserve">Signals/beacons, Striping/markings</t>
  </si>
  <si>
    <t xml:space="preserve">(1) Manor Blvd/Crosby St, (2) Manor Blvd/Thoits St, (3) Dutton Ave/Arbor Dr,  (4) Farnsworth St/Devonshire Ave, (5) 150th Ave/Lark St, (6) E. 14th St/Lorraine Dr, and (7) Farnsworth St/Chapel Ave.</t>
  </si>
  <si>
    <t xml:space="preserve">Install rectangular rapid flashing beacons (RRFBs), pedestrian hybrid beacons, and crosswalk enhancements.</t>
  </si>
  <si>
    <t xml:space="preserve">H12-04-045</t>
  </si>
  <si>
    <t xml:space="preserve">Olympic Parkway from Brandywine Avenue to Eastlake Parkway.</t>
  </si>
  <si>
    <t xml:space="preserve">Install separated bike lanes, variable speed feedback signs, and high-visibility crosswalks and signage.</t>
  </si>
  <si>
    <t xml:space="preserve">Mike Lafferty</t>
  </si>
  <si>
    <t xml:space="preserve">(619) 397-6183</t>
  </si>
  <si>
    <t xml:space="preserve">H12-11-001</t>
  </si>
  <si>
    <t xml:space="preserve">State-funded (HSIP Cycle 12, Feb 2025) $1,942,400 signals/beacons job. Money is approved and most Cycle 12 jobs bid 2026-27. Check the agency's bid page first - some may already be out to bid.</t>
  </si>
  <si>
    <t xml:space="preserve">Four (4) Unsignalized Intersections: San Fernando Road and Palmer Avenue, Sonora Avenue and Randall Street, Verdugo Road and Glencoe Way, Glendale Avenue and Elk Avenue.</t>
  </si>
  <si>
    <t xml:space="preserve">Install flashing beacons at stop controlled intersections; install rectangular rapid flashing beacons  (RRFBs), and install Pedestrian Hybrid Beacons.</t>
  </si>
  <si>
    <t xml:space="preserve">H12-07-015</t>
  </si>
  <si>
    <t xml:space="preserve">62 locations citywide.</t>
  </si>
  <si>
    <t xml:space="preserve">Improve signal hardware, apply yellow retro-reflective tape, improve pavement friction and install leading pedestrian intervals (LPIs). </t>
  </si>
  <si>
    <t xml:space="preserve">Joseph Lara</t>
  </si>
  <si>
    <t xml:space="preserve">(951) 413-3480</t>
  </si>
  <si>
    <t xml:space="preserve">H12-08-022</t>
  </si>
  <si>
    <t xml:space="preserve">State-funded (HSIP Cycle 12, Feb 2025) $1,783,100 striping/markings, guardrail job. Money is approved and most Cycle 12 jobs bid 2026-27. Check the agency's bid page first - some may already be out to bid.</t>
  </si>
  <si>
    <t xml:space="preserve">Striping/markings, Guardrail</t>
  </si>
  <si>
    <t xml:space="preserve">Camino Tassajara from Finley Road to Windemere Parkway.</t>
  </si>
  <si>
    <t xml:space="preserve">Install centerline rumble strips, install segment and intersection lighting, and upgrade guardrails.</t>
  </si>
  <si>
    <t xml:space="preserve">H12-04-008</t>
  </si>
  <si>
    <t xml:space="preserve">State-funded (HSIP Cycle 12, Feb 2025) $1,755,800 signals/beacons, signs job. Money is approved and most Cycle 12 jobs bid 2026-27. Check the agency's bid page first - some may already be out to bid.</t>
  </si>
  <si>
    <t xml:space="preserve">Improve traffic signal hardware, install pedestrian countdown signal heads, and improve intersection lighting. </t>
  </si>
  <si>
    <t xml:space="preserve">H12-04-017</t>
  </si>
  <si>
    <t xml:space="preserve">Intersection of Elkhorn Boulevard and 28th St.</t>
  </si>
  <si>
    <t xml:space="preserve">Install traffic signal.</t>
  </si>
  <si>
    <t xml:space="preserve">(916) 875-6506</t>
  </si>
  <si>
    <t xml:space="preserve">H12-03-022</t>
  </si>
  <si>
    <t xml:space="preserve">Fifteen (15) signalized intersections along the Firestone Boulevard corridor extending from Ryerson Avenue to Stewart and Gray Road, and the intersections of Downey Avenue at Alameda Street, and Brookshire Avenue at Alameda Street.</t>
  </si>
  <si>
    <t xml:space="preserve">Upgrade existing traffic signal equipment including cabinets, controllers, vehicle indications, pedestrian countdown signal heads, APS pedestrian push buttons, and implementation of leading pedestrian intervals (LPIs).</t>
  </si>
  <si>
    <t xml:space="preserve">Brian Flinn</t>
  </si>
  <si>
    <t xml:space="preserve">(562) 904-2363</t>
  </si>
  <si>
    <t xml:space="preserve">H12-07-007</t>
  </si>
  <si>
    <t xml:space="preserve">State-funded (HSIP Cycle 12, Feb 2025) $1,568,300 signals/beacons, signs job. Money is approved and most Cycle 12 jobs bid 2026-27. Check the agency's bid page first - some may already be out to bid.</t>
  </si>
  <si>
    <t xml:space="preserve">Temple City</t>
  </si>
  <si>
    <t xml:space="preserve">27 signalized intersections citywide.</t>
  </si>
  <si>
    <t xml:space="preserve">Install retro-reflective backplates, replace signal heads, and implement leading pedestrian interval (LPI).</t>
  </si>
  <si>
    <t xml:space="preserve">H12-07-041</t>
  </si>
  <si>
    <t xml:space="preserve">State-funded (HSIP Cycle 12, Feb 2025) $1,522,300 signals/beacons, signs job. Money is approved and most Cycle 12 jobs bid 2026-27. Check the agency's bid page first - some may already be out to bid.</t>
  </si>
  <si>
    <t xml:space="preserve">Highland</t>
  </si>
  <si>
    <t xml:space="preserve">Thirty-five (35) signalized intersections throughout the city and Church Street at Glenheather Drive/Love Street intersection.</t>
  </si>
  <si>
    <t xml:space="preserve">Install a new traffic signal, upgrade signal heads, and install retroreflective signal head backplates.</t>
  </si>
  <si>
    <t xml:space="preserve">H12-08-013</t>
  </si>
  <si>
    <t xml:space="preserve">State-funded (HSIP Cycle 12, Feb 2025) $1,359,900 striping/markings job. Money is approved and most Cycle 12 jobs bid 2026-27. Check the agency's bid page first - some may already be out to bid.</t>
  </si>
  <si>
    <t xml:space="preserve">Ten road sections: Keefer Rd, Garner Ln, Chico River Rd, Dayton Rd, Durham Dayton Hwy, Ord Ferry Rd, Richvale Hwy, W. Biggs Gridley Rd, E. Gridley Rd, and Larkin Rd.</t>
  </si>
  <si>
    <t xml:space="preserve">Upgrade existing 4 inch centerlines and edgelines to 6 inch thermoplastic striping.</t>
  </si>
  <si>
    <t xml:space="preserve">H12-03-001</t>
  </si>
  <si>
    <t xml:space="preserve">23rd St &amp; Hill Street and unsignalized intersections along Ocean Avenue and Colorado Avenue.</t>
  </si>
  <si>
    <t xml:space="preserve">Install rectangular rapid flashing beacons (RRFBs), curb extensions and pedestrian crossing striping.</t>
  </si>
  <si>
    <t xml:space="preserve">(424) 330-4516</t>
  </si>
  <si>
    <t xml:space="preserve">H12-07-035</t>
  </si>
  <si>
    <t xml:space="preserve">The intersection of Jamacha Boulevard  and Grand Avenue in the community of Spring Valley.</t>
  </si>
  <si>
    <t xml:space="preserve">Provide protected left turn phasing and provide pedestrian enhancements such as marked crosswalks, curb extensions, dual pedestrian ramps, and leading pedestrian interval (LPI).</t>
  </si>
  <si>
    <t xml:space="preserve">Tyler Heckstall-Rodenbaugh</t>
  </si>
  <si>
    <t xml:space="preserve">(619) 871-4546</t>
  </si>
  <si>
    <t xml:space="preserve">H12-11-012</t>
  </si>
  <si>
    <t xml:space="preserve">Fifty-nine (59) signalized intersections.</t>
  </si>
  <si>
    <t xml:space="preserve">Install retroreflective signal backplates and leading pedestrian interval (LPI).</t>
  </si>
  <si>
    <t xml:space="preserve">Don Nguyen</t>
  </si>
  <si>
    <t xml:space="preserve">(714) 966-4181</t>
  </si>
  <si>
    <t xml:space="preserve">H12-12-009</t>
  </si>
  <si>
    <t xml:space="preserve">Multiple Rural Roads: 1) Pleasants Valley Rd 2) Suisun Valley Rd 3) Mankas Corner Rd 4) Putah Creek Rd 2 segments 5) Rockville Rd 6) Lopes Rd 7) Sievers Rd 8) Meridian Rd 9) Midway Rd 10) Pedrick Rd 2 segments 11) Cantelow Rd 12) and Other Roads.</t>
  </si>
  <si>
    <t xml:space="preserve">Install/upgrade regulatory and warning signs with fluorescent sheeting, install chevron signs on curves, and install delineators, reflectors and/or object markers.</t>
  </si>
  <si>
    <t xml:space="preserve">Matthew G. Higdon</t>
  </si>
  <si>
    <t xml:space="preserve">(707) 784-7934</t>
  </si>
  <si>
    <t xml:space="preserve">H12-04-051</t>
  </si>
  <si>
    <t xml:space="preserve">8 signalized intersections on State Street between Tweedy Blvd and Santa Ana St, and Long Beach Blvd between Ardmore Ave and Kansas Ave.</t>
  </si>
  <si>
    <t xml:space="preserve">Upgrade signal hardware, install mast arm, install leading pedestrian interval (LPI), and install raised median.
</t>
  </si>
  <si>
    <t xml:space="preserve">Eric Mirzaian</t>
  </si>
  <si>
    <t xml:space="preserve">(323) 563-5784</t>
  </si>
  <si>
    <t xml:space="preserve">H12-07-039</t>
  </si>
  <si>
    <t xml:space="preserve">First St, Murrieta Blvd, Concannon Blvd, Las Positas Road, N Livermore Ave, S. Vasco Rd, W Jack London Blvd, Portola Ave, E Stanley Blvd and Patterson Pass Rd.</t>
  </si>
  <si>
    <t xml:space="preserve">Install dynamic/variable speed warning signs.</t>
  </si>
  <si>
    <t xml:space="preserve">Brian Zumwalt</t>
  </si>
  <si>
    <t xml:space="preserve">(925) 960-8175</t>
  </si>
  <si>
    <t xml:space="preserve">H12-04-023</t>
  </si>
  <si>
    <t xml:space="preserve">Sonoma County</t>
  </si>
  <si>
    <t xml:space="preserve">35 signalized intersections throughout the City of Petaluma.</t>
  </si>
  <si>
    <t xml:space="preserve">Replace signal heads and install retroreflective borders to backplates, add mast arms and signal heads at intersections, and update signal timing to include leading pedestrian intervals (LPI).</t>
  </si>
  <si>
    <t xml:space="preserve">Jared Hall</t>
  </si>
  <si>
    <t xml:space="preserve">(707) 778-4421</t>
  </si>
  <si>
    <t xml:space="preserve">H12-04-039</t>
  </si>
  <si>
    <t xml:space="preserve">State-funded (HSIP Cycle 12, Feb 2025) $1,220,400 signals/beacons job. Money is approved and most Cycle 12 jobs bid 2026-27. Check the agency's bid page first - some may already be out to bid.</t>
  </si>
  <si>
    <t xml:space="preserve">13 non-signalized intersections at arterial and collector streets throughout Oakland.</t>
  </si>
  <si>
    <t xml:space="preserve">Install rectangular rapid flashing beacons (RRFBs), install/upgrade pedestrian crossings at uncontrolled locations, and install raised medians/refuge islands.</t>
  </si>
  <si>
    <t xml:space="preserve">H12-04-034</t>
  </si>
  <si>
    <t xml:space="preserve">Intersections of Cook Street and Depot Street, and Blosser Road and Boone Street.</t>
  </si>
  <si>
    <t xml:space="preserve">Install compact roundabout and signalized intersection.</t>
  </si>
  <si>
    <t xml:space="preserve">Jeffrey Marecic</t>
  </si>
  <si>
    <t xml:space="preserve">(805) 925-0951</t>
  </si>
  <si>
    <t xml:space="preserve">H12-05-021</t>
  </si>
  <si>
    <t xml:space="preserve">State-funded (HSIP Cycle 12, Feb 2025) $2,164,900 signals/beacons, signs job. Money is approved and most Cycle 12 jobs bid 2026-27. Check the agency's bid page first - some may already be out to bid.</t>
  </si>
  <si>
    <t xml:space="preserve">Willow Street from California Avenue to Temple Avenue and Cherry Avenue from Spring Street to 20th Street.</t>
  </si>
  <si>
    <t xml:space="preserve">Install signal coordination, signal head improvements, pedestrian countdown heads and signs. </t>
  </si>
  <si>
    <t xml:space="preserve">H12-07-037</t>
  </si>
  <si>
    <t xml:space="preserve">Signals/beacons, Striping/markings, Traffic calming</t>
  </si>
  <si>
    <t xml:space="preserve">Intersection of 10th Ave &amp; Kern St.</t>
  </si>
  <si>
    <t xml:space="preserve">Install speed table, rectangular rapid flashing beacon (RRFBs), lighting, and new crosswalks.</t>
  </si>
  <si>
    <t xml:space="preserve">Corina Padilla</t>
  </si>
  <si>
    <t xml:space="preserve">(559) 897-2931</t>
  </si>
  <si>
    <t xml:space="preserve">H12-06-016</t>
  </si>
  <si>
    <t xml:space="preserve">State-funded (HSIP Cycle 12, Feb 2025) $1,170,000 signals/beacons, signs job. Money is approved and most Cycle 12 jobs bid 2026-27. Check the agency's bid page first - some may already be out to bid.</t>
  </si>
  <si>
    <t xml:space="preserve">Florin Rd at Power Inn Rd; Gerber Rd at Power Inn Rd; 47th Ave at MLK Jr Blvd; Lindale Dr at Stockton Blvd; 65th St at Sky Pkwy; French Rd at Gerber Rd; and 65th St Expressway at 53rd Ave.</t>
  </si>
  <si>
    <t xml:space="preserve">Implement leading pedestrian interval (LPI) at 6 signals; install one new traffic signal with LPI at 65th St at 53rd Ave.</t>
  </si>
  <si>
    <t xml:space="preserve">H12-03-023</t>
  </si>
  <si>
    <t xml:space="preserve">State-funded (HSIP Cycle 12, Feb 2025) $1,167,800 striping/markings job. Money is approved and most Cycle 12 jobs bid 2026-27. Check the agency's bid page first - some may already be out to bid.</t>
  </si>
  <si>
    <t xml:space="preserve">Adelanto</t>
  </si>
  <si>
    <t xml:space="preserve">Bellflower Street from Cactus to Rancho Road.</t>
  </si>
  <si>
    <t xml:space="preserve">Widen shoulders; install striping and rumble strips.</t>
  </si>
  <si>
    <t xml:space="preserve">H12-08-001</t>
  </si>
  <si>
    <t xml:space="preserve">Multiple unsignalized intersections and 2 roadway segments throughout the City of Tracy.</t>
  </si>
  <si>
    <t xml:space="preserve">Install larger stop signs, update intersection parking marking, and improve sight distance at identified unsignalized intersections throughout the city systematically.</t>
  </si>
  <si>
    <t xml:space="preserve">Radio Manager</t>
  </si>
  <si>
    <t xml:space="preserve">(209) 831-4216</t>
  </si>
  <si>
    <t xml:space="preserve">H12-10-010</t>
  </si>
  <si>
    <t xml:space="preserve">State-funded (HSIP Cycle 12, Feb 2025) $1,117,000 signals/beacons, signs job. Money is approved and most Cycle 12 jobs bid 2026-27. Check the agency's bid page first - some may already be out to bid.</t>
  </si>
  <si>
    <t xml:space="preserve">Install traffic signal backplates with yellow retroreflective border, install pedestrian countdown signal heads, accessible push button and associated ADA curb ramp upgrades and implement leading pedestrian interval (LPI).</t>
  </si>
  <si>
    <t xml:space="preserve">H12-04-004</t>
  </si>
  <si>
    <t xml:space="preserve">State-funded (HSIP Cycle 12, Feb 2025) $1,787,400 guardrail job. Money is approved and most Cycle 12 jobs bid 2026-27. Check the agency's bid page first - some may already be out to bid.</t>
  </si>
  <si>
    <t xml:space="preserve">SA-Guardrail</t>
  </si>
  <si>
    <t xml:space="preserve">Various locations on arterials, collectors, and local roads within the Bay Point, Concord, and Martinez areas of unincorporated Contra Costa County.</t>
  </si>
  <si>
    <t xml:space="preserve">Replace sub-standard Metal Beam Guardrails (MBGR) with Midwest Guardrail System (MGS) and end treatments.</t>
  </si>
  <si>
    <t xml:space="preserve">H12-04-005</t>
  </si>
  <si>
    <t xml:space="preserve">Del Norte County maintained road system.</t>
  </si>
  <si>
    <t xml:space="preserve">Upgrade guardrail on the County maintained road system.</t>
  </si>
  <si>
    <t xml:space="preserve">Road Department</t>
  </si>
  <si>
    <t xml:space="preserve">(707) 464-7238</t>
  </si>
  <si>
    <t xml:space="preserve">H12-01-006</t>
  </si>
  <si>
    <t xml:space="preserve">Multiple locations along Lotus Road.</t>
  </si>
  <si>
    <t xml:space="preserve">Replace out of compliance guardrail with new guardrail.</t>
  </si>
  <si>
    <t xml:space="preserve">EDSO Communications Manager</t>
  </si>
  <si>
    <t xml:space="preserve">(530) 621-5894</t>
  </si>
  <si>
    <t xml:space="preserve">H12-03-008</t>
  </si>
  <si>
    <t xml:space="preserve">24 sections spread along Howell Mountain Rd (5), White Cottage Rd (2), Oakville Cross Rd (6), Silverado Trail (1), Deer Park Rd (1), Oak Knoll Ave (6), and Larkmead Ln (3).</t>
  </si>
  <si>
    <t xml:space="preserve">Upgrade guardrails and end treatments.</t>
  </si>
  <si>
    <t xml:space="preserve">Communications Manager</t>
  </si>
  <si>
    <t xml:space="preserve">(707) 299-1300</t>
  </si>
  <si>
    <t xml:space="preserve">H12-04-032</t>
  </si>
  <si>
    <t xml:space="preserve">State-funded (HSIP Cycle 12, Feb 2025) $1,111,000 guardrail job. Money is approved and most Cycle 12 jobs bid 2026-27. Check the agency's bid page first - some may already be out to bid.</t>
  </si>
  <si>
    <t xml:space="preserve">Roads at San Joaquin County bridges numbered: 29C-082, 29C-147, 29C-158, 29C-159, 29C-160, 29C-162, 29C-163, 29C-214, 29C-215 and 29C-231.</t>
  </si>
  <si>
    <t xml:space="preserve">Upgrade guardrails, end treatments and terminal systems.</t>
  </si>
  <si>
    <t xml:space="preserve">H12-10-004</t>
  </si>
  <si>
    <t xml:space="preserve"> 21 roadways in Placer County.</t>
  </si>
  <si>
    <t xml:space="preserve">Perform roadway safety sign audit and sign upgrades, including yellow warning signs and regulatory speed limit signs.    </t>
  </si>
  <si>
    <t xml:space="preserve">Fcc Licensing Coordinator</t>
  </si>
  <si>
    <t xml:space="preserve">(530) 889-7735</t>
  </si>
  <si>
    <t xml:space="preserve">H12-03-019</t>
  </si>
  <si>
    <t xml:space="preserve">State-funded (HSIP Cycle 12, Feb 2025) $1,110,800 guardrail job. Money is approved and most Cycle 12 jobs bid 2026-27. Check the agency's bid page first - some may already be out to bid.</t>
  </si>
  <si>
    <t xml:space="preserve">Menifee</t>
  </si>
  <si>
    <t xml:space="preserve">Upgrade existing guardrails and end treatments.</t>
  </si>
  <si>
    <t xml:space="preserve">H12-08-018</t>
  </si>
  <si>
    <t xml:space="preserve">Various locations (4) (Diagonal 92B (DRV 92B), Road 68, Avenue 120, and Avenue 368).</t>
  </si>
  <si>
    <t xml:space="preserve">Upgrade existing damaged /outdated / destroyed guardrail.</t>
  </si>
  <si>
    <t xml:space="preserve">H12-06-030</t>
  </si>
  <si>
    <t xml:space="preserve">Multiple guardrail locations on Bonds Flat Road, La Grange Road, O'Byrnes Ferry Road, Parrotts Ferry Road, Rawhide Road, Kewin Mill Road, and Longeway Road.</t>
  </si>
  <si>
    <t xml:space="preserve">Remove and replace existing guardrail systems with upgraded steel-post Midwest Guardrail System (MGS) guardrails.</t>
  </si>
  <si>
    <t xml:space="preserve">Gabe Peterson</t>
  </si>
  <si>
    <t xml:space="preserve">(209) 536-2368</t>
  </si>
  <si>
    <t xml:space="preserve">H12-10-012</t>
  </si>
  <si>
    <t xml:space="preserve">State-funded (HSIP Cycle 12, Feb 2025) $1,108,300 guardrail job. Money is approved and most Cycle 12 jobs bid 2026-27. Check the agency's bid page first - some may already be out to bid.</t>
  </si>
  <si>
    <t xml:space="preserve">Various guardrails and bridges throughout Humboldt County.</t>
  </si>
  <si>
    <t xml:space="preserve">Repair, replace and upgrade guardrails and end treatments to current safety standards.</t>
  </si>
  <si>
    <t xml:space="preserve">H12-01-011</t>
  </si>
  <si>
    <t xml:space="preserve">State-funded (HSIP Cycle 12, Feb 2025) $1,107,700 guardrail job. Money is approved and most Cycle 12 jobs bid 2026-27. Check the agency's bid page first - some may already be out to bid.</t>
  </si>
  <si>
    <t xml:space="preserve">Auburn Folsom Road, Cabin Creek Road, Caperton Court, Indian Hill Road, Rippey Road,  and Tahoe Park Heights Drive, located in Granite Bay, Loomis, Penryn, Newcastle, Dutch Flat, Truckee and Tahoe City.  </t>
  </si>
  <si>
    <t xml:space="preserve">Replace approximately 4,300 lineal feet of existing guardrail with new Midwest Guardrail System (MGS) guardrails and terminals.</t>
  </si>
  <si>
    <t xml:space="preserve">H12-03-016</t>
  </si>
  <si>
    <t xml:space="preserve">At 91 signalized intersections citywide.</t>
  </si>
  <si>
    <t xml:space="preserve">Install retroreflective yellow tape on signal heads.</t>
  </si>
  <si>
    <t xml:space="preserve">Jeremiah EQ Sanders</t>
  </si>
  <si>
    <t xml:space="preserve">(805) 583-6848</t>
  </si>
  <si>
    <t xml:space="preserve">H12-07-038</t>
  </si>
  <si>
    <t xml:space="preserve">State-funded (HSIP Cycle 12, Feb 2025) $1,142,100 signals/beacons, signs job. Money is approved and most Cycle 12 jobs bid 2026-27. Check the agency's bid page first - some may already be out to bid.</t>
  </si>
  <si>
    <t xml:space="preserve">Rancho Cordova</t>
  </si>
  <si>
    <t xml:space="preserve">51 signals on the following corridors: Folsom Blvd, Zinfandel Dr, Sunrise Blvd, Bradshaw Rd, Old Placerville Rd, Douglas Rd, White Rock Rd, Rancho Cordova Pkwy, Data Dr, and Mather Field Rd.</t>
  </si>
  <si>
    <t xml:space="preserve">Install signal hardware improvements including upgrading vehicle signal lenses from 8 inch to 12 inch and retroreflective border on backplates.</t>
  </si>
  <si>
    <t xml:space="preserve">H12-03-020</t>
  </si>
  <si>
    <t xml:space="preserve">State-funded (HSIP Cycle 12, Feb 2025) $1,077,500 guardrail job. Money is approved and most Cycle 12 jobs bid 2026-27. Check the agency's bid page first - some may already be out to bid.</t>
  </si>
  <si>
    <t xml:space="preserve">Construct 11 guardrails and 22 end treatments.</t>
  </si>
  <si>
    <t xml:space="preserve">H12-04-046</t>
  </si>
  <si>
    <t xml:space="preserve">State-funded (HSIP Cycle 12, Feb 2025) $1,048,700 signs job. Money is approved and most Cycle 12 jobs bid 2026-27. Check the agency's bid page first - some may already be out to bid.</t>
  </si>
  <si>
    <t xml:space="preserve">Moraga</t>
  </si>
  <si>
    <t xml:space="preserve">The primary corridors connecting Moraga with adjacent communities and two non-signalized intersections: Moraga Wy, Canyon Rd, Rheem Blvd, St. Mary’s Rd, Moraga Rd at Lucas Dr (intersection), and Moraga Way at Moraga Valley Ln (intersection).</t>
  </si>
  <si>
    <t xml:space="preserve">Apply high friction surface treatment (HFST), install intersection lighting, install/upgrade signs with new fluorescent sheeting (regulatory or warning), and install delineators, reflectors and/or object markers.
</t>
  </si>
  <si>
    <t xml:space="preserve">H12-04-029</t>
  </si>
  <si>
    <t xml:space="preserve">Garfield Avenue at Motz Street/ Monroe Street and Alondra Boulevard at Minnesota Avenue.</t>
  </si>
  <si>
    <t xml:space="preserve">Install traffic signals.</t>
  </si>
  <si>
    <t xml:space="preserve">Michelle Tse</t>
  </si>
  <si>
    <t xml:space="preserve">(562) 220-2020</t>
  </si>
  <si>
    <t xml:space="preserve">H12-07-023</t>
  </si>
  <si>
    <t xml:space="preserve">State-funded (HSIP Cycle 12, Feb 2025) $1,024,000 signals/beacons, signs job. Money is approved and most Cycle 12 jobs bid 2026-27. Check the agency's bid page first - some may already be out to bid.</t>
  </si>
  <si>
    <t xml:space="preserve">Intersection of Central Ave and Chestnut Ave just south of the unincorporated community of Malaga.</t>
  </si>
  <si>
    <t xml:space="preserve">Provide protected left turn phasing and convert signal to mast arm.</t>
  </si>
  <si>
    <t xml:space="preserve">H12-06-012</t>
  </si>
  <si>
    <t xml:space="preserve">State-funded (HSIP Cycle 12, Feb 2025) $1,018,100 signals/beacons, striping/markings, signs job. Money is approved and most Cycle 12 jobs bid 2026-27. Check the agency's bid page first - some may already be out to bid.</t>
  </si>
  <si>
    <t xml:space="preserve">12 signalized intersections, 19 non-signalized intersections and two roadways along Iris Avenue and John F. Kennedy Drive.</t>
  </si>
  <si>
    <t xml:space="preserve">Signalized intersections: improve signal hardware and install leading pedestrian interval (LPI); Non-signalized intersections: upgrade intersection pavement markings and install flashing beacons rectangular rapid flashing beacons (RRFBs); Road segments: Install delineators, reflectors, object markers and impact attenuators.</t>
  </si>
  <si>
    <t xml:space="preserve">H12-08-023</t>
  </si>
  <si>
    <t xml:space="preserve">State-funded (HSIP Cycle 12, Feb 2025) $1,005,500 signals/beacons, signs job. Money is approved and most Cycle 12 jobs bid 2026-27. Check the agency's bid page first - some may already be out to bid.</t>
  </si>
  <si>
    <t xml:space="preserve">Various signalized intersections throughout the City of Sacramento.</t>
  </si>
  <si>
    <t xml:space="preserve">Install new traffic signal heads and modify existing signal heads to include retro-reflective tape.</t>
  </si>
  <si>
    <t xml:space="preserve">H12-03-021</t>
  </si>
  <si>
    <t xml:space="preserve">State-funded (HSIP Cycle 12, Feb 2025) $1,000,400 signals/beacons, signs, traffic calming job. Money is approved and most Cycle 12 jobs bid 2026-27. Check the agency's bid page first - some may already be out to bid.</t>
  </si>
  <si>
    <t xml:space="preserve">Selma</t>
  </si>
  <si>
    <t xml:space="preserve">Signals/beacons, Signs, Traffic calming</t>
  </si>
  <si>
    <t xml:space="preserve">Thompson Avenue and Lewis Street, various intersections along Wright Street, and various intersections along 2nd Street.</t>
  </si>
  <si>
    <t xml:space="preserve">Install concrete curb bulb outs, rectangular rapid flashing beacons (RRFBs), solar LED flashing stop signs, new advance pedestrian crossing signs, and replace aging pedestrian crossing signs.</t>
  </si>
  <si>
    <t xml:space="preserve">H12-06-024</t>
  </si>
  <si>
    <t xml:space="preserve">Six (6) signalized intersections.</t>
  </si>
  <si>
    <t xml:space="preserve">Replace existing pedestal mounted signals with mast arm and overhead signals and implement leading pedestrian interval (LPI) at five locations, and install protected left turn and signal phasing at one location.</t>
  </si>
  <si>
    <t xml:space="preserve">Maintenance Supervisor</t>
  </si>
  <si>
    <t xml:space="preserve">(707) 441-4365</t>
  </si>
  <si>
    <t xml:space="preserve">H12-01-008</t>
  </si>
  <si>
    <t xml:space="preserve">State-funded (HSIP Cycle 12, Feb 2025) $980,000 signals/beacons, striping/markings, signs job. Money is approved and most Cycle 12 jobs bid 2026-27. Check the agency's bid page first - some may already be out to bid.</t>
  </si>
  <si>
    <t xml:space="preserve">Intersection of Rancho Road at Bellflower Street.</t>
  </si>
  <si>
    <t xml:space="preserve">Install a traffic signal, with advance signal ahead warning signs and legends, and reconstruct existing handicap ramps and crosswalk striping.</t>
  </si>
  <si>
    <t xml:space="preserve">H12-08-002</t>
  </si>
  <si>
    <t xml:space="preserve">State-funded (HSIP Cycle 12, Feb 2025) $962,000 signs job. Money is approved and most Cycle 12 jobs bid 2026-27. Check the agency's bid page first - some may already be out to bid.</t>
  </si>
  <si>
    <t xml:space="preserve">Intersection of Blackstone Avenue and Sierra Avenue.</t>
  </si>
  <si>
    <t xml:space="preserve">Install retroreflective back plates, intersection lighting, protected left-turn phase with an existing left turn lane.</t>
  </si>
  <si>
    <t xml:space="preserve">H12-06-008</t>
  </si>
  <si>
    <t xml:space="preserve">State-funded (HSIP Cycle 12, Feb 2025) $960,300 signals/beacons, striping/markings, signs job. Money is approved and most Cycle 12 jobs bid 2026-27. Check the agency's bid page first - some may already be out to bid.</t>
  </si>
  <si>
    <t xml:space="preserve">Two (2) curved rural roads: Brea Blvd/Brea Canyon Rd and Silverado Canyon Road.</t>
  </si>
  <si>
    <t xml:space="preserve">Install centerline rumble stripes, chevron signs, speed reduction markings, and rectangular rapid flashing beacon (RRFB).</t>
  </si>
  <si>
    <t xml:space="preserve">H12-12-011</t>
  </si>
  <si>
    <t xml:space="preserve">State-funded (HSIP Cycle 12, Feb 2025) $958,800 signals/beacons, signs job. Money is approved and most Cycle 12 jobs bid 2026-27. Check the agency's bid page first - some may already be out to bid.</t>
  </si>
  <si>
    <t xml:space="preserve">Tweedy Boulevard between Alameda Street and Victoria Avenue and California Avenue between Tweedy Boulevard and Firestone Boulevard. All 9 signalized intersections within project corridor limits.</t>
  </si>
  <si>
    <t xml:space="preserve">Install fiber optic cable and conduit with communication signal gear at all 9 signalized intersections and implement leading pedestrian intervals (LPIs).</t>
  </si>
  <si>
    <t xml:space="preserve">H12-07-040</t>
  </si>
  <si>
    <t xml:space="preserve">State-funded (HSIP Cycle 12, Feb 2025) $947,800 signs job. Money is approved and most Cycle 12 jobs bid 2026-27. Check the agency's bid page first - some may already be out to bid.</t>
  </si>
  <si>
    <t xml:space="preserve">Various roadway segments.</t>
  </si>
  <si>
    <t xml:space="preserve">Install lighting and dynamic/variable speed warning signs.</t>
  </si>
  <si>
    <t xml:space="preserve">H12-04-053</t>
  </si>
  <si>
    <t xml:space="preserve">Nevada County</t>
  </si>
  <si>
    <t xml:space="preserve">Various locations throughout the Town of Truckee. </t>
  </si>
  <si>
    <t xml:space="preserve">Upgrade guardrails. </t>
  </si>
  <si>
    <t xml:space="preserve">Robert Womack</t>
  </si>
  <si>
    <t xml:space="preserve">(530) 308-0654</t>
  </si>
  <si>
    <t xml:space="preserve">H12-03-024</t>
  </si>
  <si>
    <t xml:space="preserve">State-funded (HSIP Cycle 12, Feb 2025) $932,500 signals/beacons, signs job. Money is approved and most Cycle 12 jobs bid 2026-27. Check the agency's bid page first - some may already be out to bid.</t>
  </si>
  <si>
    <t xml:space="preserve">Olivera Road &amp; Grant Street-Northwood Drive.</t>
  </si>
  <si>
    <t xml:space="preserve">Modify existing traffic signal system to eliminate permissive left-turn operations and improve intersection safety lighting.</t>
  </si>
  <si>
    <t xml:space="preserve">H12-04-003</t>
  </si>
  <si>
    <t xml:space="preserve">State-funded (HSIP Cycle 12, Feb 2025) $930,000 guardrail job. Money is approved and most Cycle 12 jobs bid 2026-27. Check the agency's bid page first - some may already be out to bid.</t>
  </si>
  <si>
    <t xml:space="preserve">Carolyn Weston Blvd at French Camp Slough, Arch Airport Overpass, Eight Mile Road at Pixley Slough Bridge, West Lane at Calaveras River, Eight Mile Road &amp; Hwy 99 W Frontage Road, Myrtle St west of Hwy 99, and Hwy 99 W Frontage Road at Mosher Slough.</t>
  </si>
  <si>
    <t xml:space="preserve">Remove existing guardrails and replace with Midwest Guardrail System (MGS) guardrails.</t>
  </si>
  <si>
    <t xml:space="preserve">H12-10-007</t>
  </si>
  <si>
    <t xml:space="preserve">Vineyard Drive from Bennett Way to Main Street.</t>
  </si>
  <si>
    <t xml:space="preserve">Install sidewalk, signal optimization, signing &amp; striping improvement including green bike lane and intersection lane extension markings.</t>
  </si>
  <si>
    <t xml:space="preserve">IT Communications - FCC Licensing</t>
  </si>
  <si>
    <t xml:space="preserve">(805) 781-5129</t>
  </si>
  <si>
    <t xml:space="preserve">H12-05-006</t>
  </si>
  <si>
    <t xml:space="preserve">The intersection of Cajon Street and Cypress Avenue.</t>
  </si>
  <si>
    <t xml:space="preserve">Electrical Division</t>
  </si>
  <si>
    <t xml:space="preserve">(714) 798-7505</t>
  </si>
  <si>
    <t xml:space="preserve">H12-08-028</t>
  </si>
  <si>
    <t xml:space="preserve">State-funded (HSIP Cycle 12, Feb 2025) $891,300 signals/beacons, signs job. Money is approved and most Cycle 12 jobs bid 2026-27. Check the agency's bid page first - some may already be out to bid.</t>
  </si>
  <si>
    <t xml:space="preserve">All signalized intersections along Neilson Way from Ocean Park Boulevard to Pico Boulevard.</t>
  </si>
  <si>
    <t xml:space="preserve">Install retroreflective backplates, leading pedestrian interval, and protected left turns.</t>
  </si>
  <si>
    <t xml:space="preserve">H12-07-033</t>
  </si>
  <si>
    <t xml:space="preserve">Locations include 1: Brown Rd; 2: Black Rd; 3: Lompoc Casmilia Rd; 4: Harris Grade Rd; 5/6: Harris Grade Rd; 7: Santos Rd; 8: Avenue of Flags Rd; 9: Ladan Dr; 10: Sagunto St; 11: Paradise Rd; 12-14: Stagecoach Rd; and 15: Roble Dr.</t>
  </si>
  <si>
    <t xml:space="preserve">Upgrade existing Metal Beam Guardrail (MBGR) to Midwest Guardrail System (MGS).</t>
  </si>
  <si>
    <t xml:space="preserve">Communications Supervisor</t>
  </si>
  <si>
    <t xml:space="preserve">(805) 681-5577</t>
  </si>
  <si>
    <t xml:space="preserve">H12-05-015</t>
  </si>
  <si>
    <t xml:space="preserve">State-funded (HSIP Cycle 12, Feb 2025) $1,597,600 signals/beacons, signs job. Money is approved and most Cycle 12 jobs bid 2026-27. Check the agency's bid page first - some may already be out to bid.</t>
  </si>
  <si>
    <t xml:space="preserve">160 signalized Intersections citywide.</t>
  </si>
  <si>
    <t xml:space="preserve">Replace existing antiquated signal controllers with new 2070 signal controllers with updated software.</t>
  </si>
  <si>
    <t xml:space="preserve">H12-08-032</t>
  </si>
  <si>
    <t xml:space="preserve">On the southeastern edge of the intersection of Santa Teresa Boulevard and Day Road East, diagonally across the intersection from Christopher High School.</t>
  </si>
  <si>
    <t xml:space="preserve">Upgrade a guardrail and construct an ADA compliant access to the Lions Creek Trail along Santa Teresa Boulevard.</t>
  </si>
  <si>
    <t xml:space="preserve">Amanda Marciel</t>
  </si>
  <si>
    <t xml:space="preserve">(408) 846-0397</t>
  </si>
  <si>
    <t xml:space="preserve">H12-04-015</t>
  </si>
  <si>
    <t xml:space="preserve">State-funded (HSIP Cycle 12, Feb 2025) $846,400 signals/beacons, signs job. Money is approved and most Cycle 12 jobs bid 2026-27. Check the agency's bid page first - some may already be out to bid.</t>
  </si>
  <si>
    <t xml:space="preserve">Thirty (30) signalized intersections.</t>
  </si>
  <si>
    <t xml:space="preserve">Install retroreflective signal backplates, install pedestrian countdown heads, and leading pedestrian interval (LPI).</t>
  </si>
  <si>
    <t xml:space="preserve">H12-08-017</t>
  </si>
  <si>
    <t xml:space="preserve">State-funded (HSIP Cycle 12, Feb 2025) $833,500 signs job. Money is approved and most Cycle 12 jobs bid 2026-27. Check the agency's bid page first - some may already be out to bid.</t>
  </si>
  <si>
    <t xml:space="preserve">Klondike Avenue and Bixler Avenue between Century Boulevard and Downey Avenue.</t>
  </si>
  <si>
    <t xml:space="preserve">Install sidewalk and ADA curb ramps on both sides of Klondike Avenue and Bixler Avenue. Convert Klondike Avenue to a Northbound one-way street and Bixler Avenue to a Southbound one-way street with appropriate signage.</t>
  </si>
  <si>
    <t xml:space="preserve">H12-07-011</t>
  </si>
  <si>
    <t xml:space="preserve">State-funded (HSIP Cycle 12, Feb 2025) $831,700 guardrail job. Money is approved and most Cycle 12 jobs bid 2026-27. Check the agency's bid page first - some may already be out to bid.</t>
  </si>
  <si>
    <t xml:space="preserve">Cross Canyon Road (N of Vineyard Canyon Road), Ontario Road (NW Corner at San Luis Bay Dr), Cave Landing Road, Lopez Drive (E of Huasna Road), and South Bay Boulevard (At Yama ln).</t>
  </si>
  <si>
    <t xml:space="preserve">Upgrade 1960 feet of existing guardrail; install an additional 200 feet of MBGR at the South Bay Blvd site. </t>
  </si>
  <si>
    <t xml:space="preserve">H12-05-007</t>
  </si>
  <si>
    <t xml:space="preserve">State-funded (HSIP Cycle 12, Feb 2025) $829,900 signals/beacons, signs job. Money is approved and most Cycle 12 jobs bid 2026-27. Check the agency's bid page first - some may already be out to bid.</t>
  </si>
  <si>
    <t xml:space="preserve">Sixty-one (61) uncontrolled intersections and seven (7) pedestrian crossings across uncontrolled approaches at side-street stop-controlled intersections.</t>
  </si>
  <si>
    <t xml:space="preserve">Install stop signs/bars/pavement markers and rectangular rapid flashing beacon (RRFB).</t>
  </si>
  <si>
    <t xml:space="preserve">H12-12-010</t>
  </si>
  <si>
    <t xml:space="preserve">6 unsignalized intersections along Valley Blvd (El Monte Ave; Shirley Ave; Meeker Ave; La Madera Ave; Allgeyer Ave; Maxson Rd).</t>
  </si>
  <si>
    <t xml:space="preserve">Install HAWK signals at 2 locations; install rectangular rapid flashing beacons (RRFBs) at 4 locations; upgrade crosswalks and curb ramps at 6 locations.</t>
  </si>
  <si>
    <t xml:space="preserve">(626) 580-2100</t>
  </si>
  <si>
    <t xml:space="preserve">H12-07-012</t>
  </si>
  <si>
    <t xml:space="preserve">State-funded (HSIP Cycle 12, Feb 2025) $766,900 signs job. Money is approved and most Cycle 12 jobs bid 2026-27. Check the agency's bid page first - some may already be out to bid.</t>
  </si>
  <si>
    <t xml:space="preserve">Intersection of First Street and Gettysburg Avenue, and intersection of Fresno Street and Shields Avenue.</t>
  </si>
  <si>
    <t xml:space="preserve">Install retroreflective back plates, intersection lighting, and advanced stop bars.</t>
  </si>
  <si>
    <t xml:space="preserve">H12-06-009</t>
  </si>
  <si>
    <t xml:space="preserve">State-funded (HSIP Cycle 12, Feb 2025) $734,800 signals/beacons, signs job. Money is approved and most Cycle 12 jobs bid 2026-27. Check the agency's bid page first - some may already be out to bid.</t>
  </si>
  <si>
    <t xml:space="preserve">28 signalized intersections citywide.</t>
  </si>
  <si>
    <t xml:space="preserve">Install larger signal heads and yellow retroreflective backplates. </t>
  </si>
  <si>
    <t xml:space="preserve">H12-12-005</t>
  </si>
  <si>
    <t xml:space="preserve">SA-Bike Safety</t>
  </si>
  <si>
    <t xml:space="preserve">Olsen Road at the State Route 23 undercrossing, including the State Route 23 northbound and southbound off-ramp intersections.</t>
  </si>
  <si>
    <t xml:space="preserve">Install continuous bike lane striping,  increase the visibility of bike conflict areas, and install eastbound bike signal phasing at the Route 23/Olsen Road northbound off-ramp.</t>
  </si>
  <si>
    <t xml:space="preserve">Water Fcc License</t>
  </si>
  <si>
    <t xml:space="preserve">(805) 449-2499</t>
  </si>
  <si>
    <t xml:space="preserve">H12-07-042</t>
  </si>
  <si>
    <t xml:space="preserve">The intersection of Sumner Ave and 68th St. </t>
  </si>
  <si>
    <t xml:space="preserve">Convert a 3-way stop controlled intersection to a signalized intersection.</t>
  </si>
  <si>
    <t xml:space="preserve">City Manager</t>
  </si>
  <si>
    <t xml:space="preserve">(951) 361-0900</t>
  </si>
  <si>
    <t xml:space="preserve">H12-08-012</t>
  </si>
  <si>
    <t xml:space="preserve">The intersection of Dolores St and Sepuleda Blvd.</t>
  </si>
  <si>
    <t xml:space="preserve">Improve intersection lighting, improve signal hardware, signing/striping for NB approach, implement split phasing, install protected left turn signal phasing, pedestrian countdown signal heads, high visibility crosswalks.</t>
  </si>
  <si>
    <t xml:space="preserve">Raymond Cheung</t>
  </si>
  <si>
    <t xml:space="preserve">(310) 830-7600</t>
  </si>
  <si>
    <t xml:space="preserve">H12-07-003</t>
  </si>
  <si>
    <t xml:space="preserve">State-funded (HSIP Cycle 12, Feb 2025) $650,800 signals/beacons, signs job. Money is approved and most Cycle 12 jobs bid 2026-27. Check the agency's bid page first - some may already be out to bid.</t>
  </si>
  <si>
    <t xml:space="preserve">Nine (9) signalized intersections citywide.</t>
  </si>
  <si>
    <t xml:space="preserve">Upgrade existing traffic signal equipment including vehicle indications, pedestrian countdown signal heads, APS pedestrian push buttons, and implementation of leading pedestrian intervals (LPIs).</t>
  </si>
  <si>
    <t xml:space="preserve">H12-07-009</t>
  </si>
  <si>
    <t xml:space="preserve">State-funded (HSIP Cycle 12, Feb 2025) $1,105,700 signals/beacons, signs job. Money is approved and most Cycle 12 jobs bid 2026-27. Check the agency's bid page first - some may already be out to bid.</t>
  </si>
  <si>
    <t xml:space="preserve">41 intersections throughout the City of Temecula.</t>
  </si>
  <si>
    <t xml:space="preserve">Install traffic signal hardware and communication interconnect system upgrades to improve traffic signal timing and optimize operations.</t>
  </si>
  <si>
    <t xml:space="preserve">H12-08-036</t>
  </si>
  <si>
    <t xml:space="preserve">Install retroreflective backplates.</t>
  </si>
  <si>
    <t xml:space="preserve">Araceli Sanchez</t>
  </si>
  <si>
    <t xml:space="preserve">(209) 238-1900</t>
  </si>
  <si>
    <t xml:space="preserve">H12-10-006</t>
  </si>
  <si>
    <t xml:space="preserve">State-funded (HSIP Cycle 12, Feb 2025) $600,000 guardrail job. Money is approved and most Cycle 12 jobs bid 2026-27. Check the agency's bid page first - some may already be out to bid.</t>
  </si>
  <si>
    <t xml:space="preserve">Avenal</t>
  </si>
  <si>
    <t xml:space="preserve">Kings County</t>
  </si>
  <si>
    <t xml:space="preserve">On Avenal Cutoff Road approximately 100 feet southwest of the California Aqueduct.</t>
  </si>
  <si>
    <t xml:space="preserve">H12-06-003</t>
  </si>
  <si>
    <t xml:space="preserve">State-funded (HSIP Cycle 12, Feb 2025) $599,200 striping/markings, signs job. Money is approved and most Cycle 12 jobs bid 2026-27. Check the agency's bid page first - some may already be out to bid.</t>
  </si>
  <si>
    <t xml:space="preserve">Bonita Road from Central Avenue to the County Limits near Villas Drive.</t>
  </si>
  <si>
    <t xml:space="preserve">Install Class II buffered bike lanes to complete the missing segment, green paint at conflict zones and through intersections, and 2 dynamic/variable speed warning signs.</t>
  </si>
  <si>
    <t xml:space="preserve">H12-11-013</t>
  </si>
  <si>
    <t xml:space="preserve">State-funded (HSIP Cycle 12, Feb 2025) $647,200 signals/beacons, striping/markings, signs job. Money is approved and most Cycle 12 jobs bid 2026-27. Check the agency's bid page first - some may already be out to bid.</t>
  </si>
  <si>
    <t xml:space="preserve">The intersection of Industrial Parkway West/Industrial Parkway Southwest/Ruus Road.</t>
  </si>
  <si>
    <t xml:space="preserve">Install left turn phase traffic signals with pole and mast arm, convert pedestal mounted traffic signal to mast arm traffic signal, install raised pavement markings &amp; striping through skewed intersection, and install pedestrian signals and APS pushbuttons.</t>
  </si>
  <si>
    <t xml:space="preserve">H12-04-016</t>
  </si>
  <si>
    <t xml:space="preserve">State-funded (HSIP Cycle 12, Feb 2025) $580,600 guardrail job. Money is approved and most Cycle 12 jobs bid 2026-27. Check the agency's bid page first - some may already be out to bid.</t>
  </si>
  <si>
    <t xml:space="preserve">Multiple rural road corridors: (1) Lopes Road, (2) Mankas Corner Road, and (3) Pleasants Valley Road and (4) other roads.</t>
  </si>
  <si>
    <t xml:space="preserve">Install guardrails at horizontal curves and spot locations.</t>
  </si>
  <si>
    <t xml:space="preserve">H12-04-052</t>
  </si>
  <si>
    <t xml:space="preserve">State-funded (HSIP Cycle 12, Feb 2025) $566,300 signals/beacons, signs job. Money is approved and most Cycle 12 jobs bid 2026-27. Check the agency's bid page first - some may already be out to bid.</t>
  </si>
  <si>
    <t xml:space="preserve">52 signalized intersections along the corridors of Capitol Ave, First Street, Curtner, Camden Ave, Branham Ln, Barack Obama Bl, Moorpark Ave, Park Ave, McLaughlin Ave, Quimby Rd, and Tully Rd.</t>
  </si>
  <si>
    <t xml:space="preserve">Upgrade 8 inch diameter traffic signal heads to 12 inch heads, apply retroreflective borders on traffic signal backplates, and install accessible pedestrian signal hardware.</t>
  </si>
  <si>
    <t xml:space="preserve">H12-04-044</t>
  </si>
  <si>
    <t xml:space="preserve">State-funded (HSIP Cycle 12, Feb 2025) $556,500 signals/beacons, striping/markings, signs job. Money is approved and most Cycle 12 jobs bid 2026-27. Check the agency's bid page first - some may already be out to bid.</t>
  </si>
  <si>
    <t xml:space="preserve">Rancho Cucamonga</t>
  </si>
  <si>
    <t xml:space="preserve">Ten (10) signalized intersections: Day Creek Blvd/Foothill Blvd, Archibald Ave/Foothill Blvd, Foothill Blvd/Hermosa Ave, Foothill Blvd/Vineyard Ave, 19th St/Carnelian, Foothill Blvd/Hellman Ave, Archibald Ave/Base Line Rd, Foothill Blvd/Haven Ave, Base Line Rd/East Ave, and Elm Ave/Foothill Blvd.</t>
  </si>
  <si>
    <t xml:space="preserve">Install retroreflective borders on signal head backplates, continental crosswalks, new signal heads, type 1A signal pole and new pull box, and upgrade an ADA ramp. </t>
  </si>
  <si>
    <t xml:space="preserve">H12-08-027</t>
  </si>
  <si>
    <t xml:space="preserve">The intersection of Santa Clara Avenue and Central Avenue.</t>
  </si>
  <si>
    <t xml:space="preserve">Install protected left-turn signal heads/phases, relocate and install high visibility crosswalks, and convert all right-lanes to right-turn only lanes.</t>
  </si>
  <si>
    <t xml:space="preserve">Project Manager</t>
  </si>
  <si>
    <t xml:space="preserve">(805) 340-8216</t>
  </si>
  <si>
    <t xml:space="preserve">H12-07-043</t>
  </si>
  <si>
    <t xml:space="preserve">State-funded (HSIP Cycle 12, Feb 2025) $543,500 signals/beacons, signs job. Money is approved and most Cycle 12 jobs bid 2026-27. Check the agency's bid page first - some may already be out to bid.</t>
  </si>
  <si>
    <t xml:space="preserve">Ridgecrest</t>
  </si>
  <si>
    <t xml:space="preserve">Kern County</t>
  </si>
  <si>
    <t xml:space="preserve">14 signalized intersections on Downs Street, Norma Street, Drummond Ave, Bowman Rd, and China Lake Blvd.</t>
  </si>
  <si>
    <t xml:space="preserve">Upgrade the signal hardware back-plates with retroreflective border and replace signal heads.</t>
  </si>
  <si>
    <t xml:space="preserve">H12-09-007</t>
  </si>
  <si>
    <t xml:space="preserve">State-funded (HSIP Cycle 12, Feb 2025) $611,900 signs job. Money is approved and most Cycle 12 jobs bid 2026-27. Check the agency's bid page first - some may already be out to bid.</t>
  </si>
  <si>
    <t xml:space="preserve">Orinda</t>
  </si>
  <si>
    <t xml:space="preserve">All publiclly maintained streets within the City of Orinda, excluding those within the State right-of-way. </t>
  </si>
  <si>
    <t xml:space="preserve">Assess and document all signs and pavement markers within the City of Orinda, excluding the limits within the State right-of-way.</t>
  </si>
  <si>
    <t xml:space="preserve">H12-04-038</t>
  </si>
  <si>
    <t xml:space="preserve">State-funded (HSIP Cycle 12, Feb 2025) $525,500 signals/beacons, signs job. Money is approved and most Cycle 12 jobs bid 2026-27. Check the agency's bid page first - some may already be out to bid.</t>
  </si>
  <si>
    <t xml:space="preserve">Various unsignalized intersections throughout the County.</t>
  </si>
  <si>
    <t xml:space="preserve">Install additional signs or upgrade existing signs (intersection warning/regulatory signs, flashing beacons, and other advance warning signals).</t>
  </si>
  <si>
    <t xml:space="preserve">H12-04-050</t>
  </si>
  <si>
    <t xml:space="preserve">Various locations along Mulholland Hwy, Las Virgenes Rd, Dry Canyon Cold Creek Rd, Old Topanga Canyon Rd. End terminal of Helmond Dr, De Berry Drive, and Canwood St.</t>
  </si>
  <si>
    <t xml:space="preserve">Remove and replace / upgrade damaged guardrail system.</t>
  </si>
  <si>
    <t xml:space="preserve">(818) 224-1600</t>
  </si>
  <si>
    <t xml:space="preserve">H12-07-001</t>
  </si>
  <si>
    <t xml:space="preserve">Trona-Wildrose Road (Slate Pass area).</t>
  </si>
  <si>
    <t xml:space="preserve">Install signs and high friction surface treatment (HFST).</t>
  </si>
  <si>
    <t xml:space="preserve">Sgt Mark Smith</t>
  </si>
  <si>
    <t xml:space="preserve">(760) 878-8221</t>
  </si>
  <si>
    <t xml:space="preserve">H12-09-001</t>
  </si>
  <si>
    <t xml:space="preserve">State-funded (HSIP Cycle 12, Feb 2025) $510,000 guardrail job. Money is approved and most Cycle 12 jobs bid 2026-27. Check the agency's bid page first - some may already be out to bid.</t>
  </si>
  <si>
    <t xml:space="preserve">Corcoran</t>
  </si>
  <si>
    <t xml:space="preserve">On Paris Avenue at turn onto Plymouth Avenue.</t>
  </si>
  <si>
    <t xml:space="preserve">H12-06-006</t>
  </si>
  <si>
    <t xml:space="preserve">State-funded (HSIP Cycle 12, Feb 2025) $508,900 signals/beacons, signs job. Money is approved and most Cycle 12 jobs bid 2026-27. Check the agency's bid page first - some may already be out to bid.</t>
  </si>
  <si>
    <t xml:space="preserve">Seventeen (17) signalized intersections throughout unincorporated San Joaquin County.</t>
  </si>
  <si>
    <t xml:space="preserve">Replace 203 existing signal heads, install 9 new signal heads on existing poles, and install 1 new signal head on a new pole.</t>
  </si>
  <si>
    <t xml:space="preserve">H12-10-003</t>
  </si>
  <si>
    <t xml:space="preserve">State-funded (HSIP Cycle 12, Feb 2025) $903,500 signals/beacons, signs job. Money is approved and most Cycle 12 jobs bid 2026-27. Check the agency's bid page first - some may already be out to bid.</t>
  </si>
  <si>
    <t xml:space="preserve">Woodland</t>
  </si>
  <si>
    <t xml:space="preserve">Yolo County</t>
  </si>
  <si>
    <t xml:space="preserve">Intersection of West Street and Beamer Street.</t>
  </si>
  <si>
    <t xml:space="preserve">Upgrade signal hardware, improve signal timing, and install left-turn lanes and ADA ramps. </t>
  </si>
  <si>
    <t xml:space="preserve">H12-03-025</t>
  </si>
  <si>
    <t xml:space="preserve">State-funded (HSIP Cycle 12, Feb 2025) $500,000 guardrail job. Money is approved and most Cycle 12 jobs bid 2026-27. Check the agency's bid page first - some may already be out to bid.</t>
  </si>
  <si>
    <t xml:space="preserve">Various throughout Butte County: 10th St (at Feather Ave), Pacific Heights Rd (Oroville Wildlife Area), Pacific Heights Rd (N of Georgia Pacific Way), B St (E of Biggs), Richvale Hwy (E of Richvale), Lower Wyandotte Rd (between Country Oaks Dr).</t>
  </si>
  <si>
    <t xml:space="preserve">Upgrade Metal Beam Guardrails (MBGR) to Midwest Guardrail System (MGS).</t>
  </si>
  <si>
    <t xml:space="preserve">H12-03-003</t>
  </si>
  <si>
    <t xml:space="preserve">State-funded (HSIP Cycle 12) but smaller ($452,400) signals/beacons, signs job. Good for small local contractors; check if already bid.</t>
  </si>
  <si>
    <t xml:space="preserve">Intersections of First St and Portola Ave, First St and Scott St,  Jensen St and East Ave, Maple St and 5th St , Charlotte Way and  Marcella St, and Charlotte Way and  Arlene Way.
</t>
  </si>
  <si>
    <t xml:space="preserve">Install/upgrade larger or additional stop signs or other intersection warning/regulatory signs, install flashing beacons as advance warning and install rectangular rapid flashing beacons (RRFBs).</t>
  </si>
  <si>
    <t xml:space="preserve">H12-04-022</t>
  </si>
  <si>
    <t xml:space="preserve">State-funded (HSIP Cycle 12, Feb 2025) $505,000 signals/beacons job. Money is approved and most Cycle 12 jobs bid 2026-27. Check the agency's bid page first - some may already be out to bid.</t>
  </si>
  <si>
    <t xml:space="preserve">Brookwood Rd from Moraga Wy to Spring Ct; Lost Valley Dr from Don Gabriel Wy; Orinda Wy from El Toyonal to Santa Maria Wy; and Valley View Dr from Crestview Dr to Don Gabriel Wy.</t>
  </si>
  <si>
    <t xml:space="preserve">Install pedestrian crossing with enhanced safety features and rectangular rapid flashing beacons (RRFBs).</t>
  </si>
  <si>
    <t xml:space="preserve">H12-04-037</t>
  </si>
  <si>
    <t xml:space="preserve">State-funded (HSIP Cycle 12) but smaller ($424,000) signals/beacons, signs job. Good for small local contractors; check if already bid.</t>
  </si>
  <si>
    <t xml:space="preserve">Sixteen (16) signalized intersections.</t>
  </si>
  <si>
    <t xml:space="preserve">Provide one protected left-turn phase, install one pedestrian countdown signal head, and modify signal phasing for fourteen intersections to implement a leading pedestrian interval (LPI).</t>
  </si>
  <si>
    <t xml:space="preserve">H12-04-030</t>
  </si>
  <si>
    <t xml:space="preserve">State-funded (HSIP Cycle 12) but smaller ($413,200) signals/beacons, striping/markings, signs job. Good for small local contractors; check if already bid.</t>
  </si>
  <si>
    <t xml:space="preserve">Intersections of First St and Southfront Rd, E Stanley Blvd and Murrieta Blvd, Railroad Ave and S P St, First St and Maple St,  Portola Ave and N L St , Northfront Road and North Vasco Road, Fenton St and E Stanley Blvd, and East Ave and Charlotte Way.</t>
  </si>
  <si>
    <t xml:space="preserve">Improve pedestrian safety: install flashing beacons as advance warning,  install advance stop bar before crosswalk (bicycle box), and modify signal phasing to implement a leading pedestrian interval (LPI).</t>
  </si>
  <si>
    <t xml:space="preserve">H12-04-021</t>
  </si>
  <si>
    <t xml:space="preserve">Madera County</t>
  </si>
  <si>
    <t xml:space="preserve">At the signalized intersection of Ellis Street &amp; Country Club Drive (Road 26).</t>
  </si>
  <si>
    <t xml:space="preserve">Install left-turn lane and add turn phase, implement leading pedestrian interval (LPI), and install high visibility markings.</t>
  </si>
  <si>
    <t xml:space="preserve">(559) 661-5466</t>
  </si>
  <si>
    <t xml:space="preserve">H12-06-019</t>
  </si>
  <si>
    <t xml:space="preserve">State-funded (HSIP Cycle 12) but smaller ($397,200) signals/beacons, signs job. Good for small local contractors; check if already bid.</t>
  </si>
  <si>
    <t xml:space="preserve">Yucaipa</t>
  </si>
  <si>
    <t xml:space="preserve">Yucaipa Blvd (15 locations), Oak Glen Rd (8 locations), Bryant St (1 location), Wildwood Canyon Rd (1 location), Sand Canyon Rd (3 locations), Avenue E (1 location) and County Line Rd (1 location).</t>
  </si>
  <si>
    <t xml:space="preserve">Upgrade signal heads with reflective tape and new backplates.</t>
  </si>
  <si>
    <t xml:space="preserve">H12-08-040</t>
  </si>
  <si>
    <t xml:space="preserve">State-funded (HSIP Cycle 12, Feb 2025) $5,106,300 signals/beacons, signs job. Money is approved and most Cycle 12 jobs bid 2026-27. Check the agency's bid page first - some may already be out to bid.</t>
  </si>
  <si>
    <t xml:space="preserve">Treat Boulevard in the City of Walnut Creek and unincorporated Contra Costa Centre area, from N Main St to Jones Rd.</t>
  </si>
  <si>
    <t xml:space="preserve">Install Class IV bikeways between N Main St and Jones Rd, install a shared use path between Buskirk Ave and Oak Rd, eliminate free right turns, and modify traffic signals and pedestrian refuge islands.  </t>
  </si>
  <si>
    <t xml:space="preserve">H12-04-006</t>
  </si>
  <si>
    <t xml:space="preserve">State-funded (HSIP Cycle 12, Feb 2025) $629,400 signals/beacons, striping/markings job. Money is approved and most Cycle 12 jobs bid 2026-27. Check the agency's bid page first - some may already be out to bid.</t>
  </si>
  <si>
    <t xml:space="preserve">SA-PedCrossing</t>
  </si>
  <si>
    <t xml:space="preserve">The intersections of Danville Blvd &amp; South Ave in Alamo and Center Ave &amp; Deodar Dr in Pacheco, unincorporated Contra Costa County. </t>
  </si>
  <si>
    <t xml:space="preserve">Install pedestrian crossing improvements at two intersections such as rectangular rapid flashing beacons (RRFBs), curb ramps, continental crosswalk striping, and other safety features.</t>
  </si>
  <si>
    <t xml:space="preserve">H12-04-007</t>
  </si>
  <si>
    <t xml:space="preserve">State-funded (HSIP Cycle 12) but smaller ($388,900) signals/beacons job. Good for small local contractors; check if already bid.</t>
  </si>
  <si>
    <t xml:space="preserve">Mill Valley</t>
  </si>
  <si>
    <t xml:space="preserve">Install pedestrian crossing; install sidewalk; install/upgrade pedestrian crossing; install rectangular rapid flashing beacons (RRFBs). </t>
  </si>
  <si>
    <t xml:space="preserve">H12-04-027</t>
  </si>
  <si>
    <t xml:space="preserve">State-funded (HSIP Cycle 12) but smaller ($389,800) striping/markings job. Good for small local contractors; check if already bid.</t>
  </si>
  <si>
    <t xml:space="preserve">SA-Edgelines</t>
  </si>
  <si>
    <t xml:space="preserve">Construct edgeline for 16.5 miles of roadway.</t>
  </si>
  <si>
    <t xml:space="preserve">H12-04-047</t>
  </si>
  <si>
    <t xml:space="preserve">State-funded (HSIP Cycle 12) but smaller ($388,900) signals/beacons, striping/markings, signs job. Good for small local contractors; check if already bid.</t>
  </si>
  <si>
    <t xml:space="preserve">Hawaiian Gardens</t>
  </si>
  <si>
    <t xml:space="preserve">Norwalk Blvd at 216th St.</t>
  </si>
  <si>
    <t xml:space="preserve">Install a HAWK signal on Norwalk Blvd at 216th St and remove the two adjacent crosswalks on Norwalk Blvd at 215th St and Tilbury St.</t>
  </si>
  <si>
    <t xml:space="preserve">H12-07-018</t>
  </si>
  <si>
    <t xml:space="preserve">Foothill Boulevard at Indiana Avenue.</t>
  </si>
  <si>
    <t xml:space="preserve">Install a HAWK signal.</t>
  </si>
  <si>
    <t xml:space="preserve">(818) 790-8880</t>
  </si>
  <si>
    <t xml:space="preserve">H12-07-019</t>
  </si>
  <si>
    <t xml:space="preserve">At seven intersections along the Golden Valley Road/ Newhall Ranch Road corridor.</t>
  </si>
  <si>
    <t xml:space="preserve">Install bicycle detection system and signage on trail system at seven signalized intersections to enhance bicyclist safety. </t>
  </si>
  <si>
    <t xml:space="preserve">(661) 286-4094</t>
  </si>
  <si>
    <t xml:space="preserve">H12-07-031</t>
  </si>
  <si>
    <t xml:space="preserve">State-funded (HSIP Cycle 12) but smaller ($421,500) signals/beacons, signs job. Good for small local contractors; check if already bid.</t>
  </si>
  <si>
    <t xml:space="preserve">At the intersection of Lincoln Boulevard and Hill Street (north approach).</t>
  </si>
  <si>
    <t xml:space="preserve">Install pedestrian signal on the north approach of the intersection.</t>
  </si>
  <si>
    <t xml:space="preserve">H12-07-032</t>
  </si>
  <si>
    <t xml:space="preserve">State-funded (HSIP Cycle 12, Feb 2025) $652,500 signals/beacons, striping/markings job. Money is approved and most Cycle 12 jobs bid 2026-27. Check the agency's bid page first - some may already be out to bid.</t>
  </si>
  <si>
    <t xml:space="preserve">Civic Center Drive from Haven Avenue to Utica Avenue.</t>
  </si>
  <si>
    <t xml:space="preserve">Install rectangular rapid flashing beacons (RRFBs) and relocate crosswalk, construct ADA compliant access ramps and refuge island, and install Class II buffered bike lane and curb extensions. </t>
  </si>
  <si>
    <t xml:space="preserve">H12-08-026</t>
  </si>
  <si>
    <t xml:space="preserve">Mono County</t>
  </si>
  <si>
    <t xml:space="preserve">Intersection of State Route 203 and Mountain Boulevard. </t>
  </si>
  <si>
    <t xml:space="preserve">Install new crosswalk including the reconstruction of the north ADA ramp, the construction of a new ADA ramp on the south landing, striping, and installation of new posts, mast arms, and Rectangular Rapid Flashing Beacon (RRFB) system.</t>
  </si>
  <si>
    <t xml:space="preserve">Jesus Dimas</t>
  </si>
  <si>
    <t xml:space="preserve">(760) 965-3687</t>
  </si>
  <si>
    <t xml:space="preserve">H12-09-003</t>
  </si>
  <si>
    <t xml:space="preserve">Las Flores Avenue at Sierra View Street.</t>
  </si>
  <si>
    <t xml:space="preserve">Upgrade the uncontrolled crosswalk with a HAWK signal.</t>
  </si>
  <si>
    <t xml:space="preserve">H12-09-004</t>
  </si>
  <si>
    <t xml:space="preserve">SR 4 and Pennsylvania Gulch Road.</t>
  </si>
  <si>
    <t xml:space="preserve">Install approximately 1050 feet of sidewalks, upgrade / install ADA curb ramps, and upgrade / install crosswalks.</t>
  </si>
  <si>
    <t xml:space="preserve">Business Administrator</t>
  </si>
  <si>
    <t xml:space="preserve">(209) 754-6402</t>
  </si>
  <si>
    <t xml:space="preserve">H12-10-001</t>
  </si>
  <si>
    <t xml:space="preserve">State-funded (HSIP Cycle 12, Feb 2025) $1,499,200 striping/markings job. Money is approved and most Cycle 12 jobs bid 2026-27. Check the agency's bid page first - some may already be out to bid.</t>
  </si>
  <si>
    <t xml:space="preserve">Tremont Road from Sparling Lane to Old Davis Road.</t>
  </si>
  <si>
    <t xml:space="preserve">Widen existing graded dirt shoulders, pave and stripe bike lanes.</t>
  </si>
  <si>
    <t xml:space="preserve">H12-04-054</t>
  </si>
  <si>
    <t xml:space="preserve">State-funded (HSIP Cycle 12) but smaller ($388,800) signals/beacons, signs job. Good for small local contractors; check if already bid.</t>
  </si>
  <si>
    <t xml:space="preserve">Pedestrian crossings at Freeman Elementary School, Tafoya Elementary School,  Dignity Health Complex, and at the multi-use paths at Farmers Central and the Heritage Parkway.</t>
  </si>
  <si>
    <t xml:space="preserve">Install rectangular rapid flashing beacons (RRFBs) and AC Powered speed feedback signs.</t>
  </si>
  <si>
    <t xml:space="preserve">H12-03-026</t>
  </si>
  <si>
    <t xml:space="preserve">State-funded (HSIP Cycle 12) but smaller ($388,800) signals/beacons, striping/markings, signs job. Good for small local contractors; check if already bid.</t>
  </si>
  <si>
    <t xml:space="preserve">Suisun City</t>
  </si>
  <si>
    <t xml:space="preserve">Non-signalized intersection on Pintail Drive at Crane Drive; Suisun City Fire Station, 621 Pintail Drive, between Cackling Drive and East Wigeon Way.</t>
  </si>
  <si>
    <t xml:space="preserve">Install rectangular rapid flashing beacons (RRFBs), curb extensions, ADA ramps, warning signs and high visibility crosswalk; Replace and upgrade outdated emergency warning devices and install new advance warning beacons. </t>
  </si>
  <si>
    <t xml:space="preserve">H12-04-055</t>
  </si>
  <si>
    <t xml:space="preserve">State-funded (HSIP Cycle 12) but smaller ($388,800) signals/beacons, striping/markings job. Good for small local contractors; check if already bid.</t>
  </si>
  <si>
    <t xml:space="preserve">Three uncontrolled crossing locations: La Colina Rd at Hope Elementary, Hope Ave at Monte Vista Elementary, and Hope Ave At Pueblo Ave.</t>
  </si>
  <si>
    <t xml:space="preserve">Install curb extensions, rectangular rapid flashing beacons (RRFBs), lighting, and markings.</t>
  </si>
  <si>
    <t xml:space="preserve">H12-05-008</t>
  </si>
  <si>
    <t xml:space="preserve">Mcfarland</t>
  </si>
  <si>
    <t xml:space="preserve">Various locations throughout the city.</t>
  </si>
  <si>
    <t xml:space="preserve">Install rectangular rapid flashing beacons (RRFBs), LED Flashing Stop signs, advanced yield lines/signs; re-stripe high visibility crosswalks; and install curb ramps.</t>
  </si>
  <si>
    <t xml:space="preserve">H12-06-020</t>
  </si>
  <si>
    <t xml:space="preserve">Santa Fe Trail pedestrian crossings at Laspina Street, Tulare Drive, E Street, M Street, Cherry Street, and Blackstone Street.</t>
  </si>
  <si>
    <t xml:space="preserve">Install rectangular rapid flashing beacons (RRFBs).</t>
  </si>
  <si>
    <t xml:space="preserve">Jason Bowling</t>
  </si>
  <si>
    <t xml:space="preserve">(559) 684-4310</t>
  </si>
  <si>
    <t xml:space="preserve">H12-06-027</t>
  </si>
  <si>
    <t xml:space="preserve">Seven intersections: Ventura Road / Town Center Drive, Oxnard Boulevard / Town Center Drive, Oxnard / Wagon Wheel Road / Esplanade Drive, Oxnard / Vineyard Avenue, Oxnard / Gonzales Road, Oxnard / Cooper Road, and Rose Avenue / Fifth Street.</t>
  </si>
  <si>
    <t xml:space="preserve">Install electronic blank-out signs at intersections to enhance pedestrian safety.</t>
  </si>
  <si>
    <t xml:space="preserve">Communication Manager</t>
  </si>
  <si>
    <t xml:space="preserve">(805) 385-7784</t>
  </si>
  <si>
    <t xml:space="preserve">H12-07-022</t>
  </si>
  <si>
    <t xml:space="preserve">Eight (8) school crossings: 1. Sideview Dr &amp; Shade Ln; 2. Orange Ave &amp; Shade Ln; 3. Orange Ave &amp; Homestead;  4. Orange Ave &amp; Maxine St; 5. Durfee Ave at North Park Acedemy of Arts Driveway; 6. Serapis Ave &amp; Aero Dr; 7. Serapis Ave &amp; La Docena; and 8. Serapis Ave &amp; Terrradel St.</t>
  </si>
  <si>
    <t xml:space="preserve">Install safety improvements including crossing signage &amp; striping, rectangular rapid flashing beacons (RRFBs), LED enhanced signage, and ADA improvements.</t>
  </si>
  <si>
    <t xml:space="preserve">H12-07-027</t>
  </si>
  <si>
    <t xml:space="preserve">Five (5) intersections: McBean Pkwy / Magic Mountain Pkwy, McBean Pkwy / Northpark Dr, McBean Pkwy / Sunset Hills Dr, Copper Hill Dr / Decoro Dr, and Golden Valley Rd / Newhall Ranch Rd.</t>
  </si>
  <si>
    <t xml:space="preserve">Install electronic blank-out signs to enhance pedestrian visibility.</t>
  </si>
  <si>
    <t xml:space="preserve">H12-07-030</t>
  </si>
  <si>
    <t xml:space="preserve">Cathedral City</t>
  </si>
  <si>
    <t xml:space="preserve">Ortega Road &amp; Via De Anza, Bella Vista Road &amp; Calada Road, Century Park Drive &amp; Foxborough Drive.</t>
  </si>
  <si>
    <t xml:space="preserve">Implement pedestrian crossing enhancements including ADA-compliant curb ramps, rectangular rapid flashing beacons (RRFBs), high visibility continental crosswalks, and other signing and striping improvements. </t>
  </si>
  <si>
    <t xml:space="preserve">H12-08-003</t>
  </si>
  <si>
    <t xml:space="preserve">Encinitas</t>
  </si>
  <si>
    <t xml:space="preserve">South Coast Highwy 101 at Harbaugh Seaside Trails.</t>
  </si>
  <si>
    <t xml:space="preserve">Install a pedestrian crossing  at Harbaugh Seaside Trails including refuge median island, rectangular rapid flashing beacons (RRFBs), high visibility continental crosswalks and other signing and striping improvements. </t>
  </si>
  <si>
    <t xml:space="preserve">H12-11-006</t>
  </si>
  <si>
    <t xml:space="preserve">State-funded (HSIP Cycle 12) but smaller ($388,800) striping/markings, signs job. Good for small local contractors; check if already bid.</t>
  </si>
  <si>
    <t xml:space="preserve">Junipero Drive from Arlington Drive to Presidio Drive, including the intersections of Junipero Drive at Arlington Drive and Junipero Drive at Presidio Drive. </t>
  </si>
  <si>
    <t xml:space="preserve">Construct Class IV bicycle facility including slurry seal, signing, and striping, and construct a raised intersection at Junipero &amp; Arlington.</t>
  </si>
  <si>
    <t xml:space="preserve">H12-12-002</t>
  </si>
  <si>
    <t xml:space="preserve">State-funded (HSIP Cycle 12) but smaller ($388,700) signals/beacons, striping/markings job. Good for small local contractors; check if already bid.</t>
  </si>
  <si>
    <t xml:space="preserve">National City</t>
  </si>
  <si>
    <t xml:space="preserve">Intersections of 8th Street &amp; A Avenue, 8th Street &amp; B Avenue, and 8th Street &amp; C Avenue.</t>
  </si>
  <si>
    <t xml:space="preserve">Install rectangular rapid flashing beacons (RRFBs) for 6 crosswalks. </t>
  </si>
  <si>
    <t xml:space="preserve">H12-11-007</t>
  </si>
  <si>
    <t xml:space="preserve">State-funded (HSIP Cycle 12, Feb 2025) $579,100 signals/beacons job. Money is approved and most Cycle 12 jobs bid 2026-27. Check the agency's bid page first - some may already be out to bid.</t>
  </si>
  <si>
    <t xml:space="preserve">Calaroga Ave/Eden Greenway; D St /5th St; Santa Clara St/El Dorado Ave; Santa Clara St/Ocie Way; Patrick Ave/St Bede  Ln; Patrick Ave /Mid-Block Crossing at St Bede Catholic Church.</t>
  </si>
  <si>
    <t xml:space="preserve">Install rectangular rapid flashing beacons (RRFBs), curb extensions, and pedestrian refuge islands.</t>
  </si>
  <si>
    <t xml:space="preserve">H12-04-019</t>
  </si>
  <si>
    <t xml:space="preserve">State-funded (HSIP Cycle 12) but smaller ($388,600) signals/beacons job. Good for small local contractors; check if already bid.</t>
  </si>
  <si>
    <t xml:space="preserve">Four crossing locations: Shaffer St &amp; Everett Pl; Walnut Ave &amp; Harwood St; Shaffer St 130'  N/o Almond Ave; and Rancho Santiago Blvd &amp; Orange Grove Ave.</t>
  </si>
  <si>
    <t xml:space="preserve">H12-12-006</t>
  </si>
  <si>
    <t xml:space="preserve">Willow St. between S Harold St. and Florence St., containing four (4) intersections and one (1) mid-block crossing.</t>
  </si>
  <si>
    <t xml:space="preserve">Install a pedestrian crossing island, high visibility crosswalks, and ADA compliant sidewalk, curb &amp; gutter, curb ramps, and bulb-outs.</t>
  </si>
  <si>
    <t xml:space="preserve">John Smith</t>
  </si>
  <si>
    <t xml:space="preserve">(707) 961-2835</t>
  </si>
  <si>
    <t xml:space="preserve">H12-01-009</t>
  </si>
  <si>
    <t xml:space="preserve">State-funded (HSIP Cycle 12) but smaller ($388,500) signals/beacons, striping/markings job. Good for small local contractors; check if already bid.</t>
  </si>
  <si>
    <t xml:space="preserve">Various Locations. Road 126 crossing for Orosi High School, Road 28 crossing for Waukena Joint Union Elementary School, and Road 168 crossing for Woodville Elementary School.</t>
  </si>
  <si>
    <t xml:space="preserve">Install rectangular rapid flashing beacons (RRFBs) with advanced synchronized flashing beacons, and upgrade pavement markings.</t>
  </si>
  <si>
    <t xml:space="preserve">H12-06-031</t>
  </si>
  <si>
    <t xml:space="preserve">San Benito County</t>
  </si>
  <si>
    <t xml:space="preserve">Along 2nd Street from Muckelemi St. to about 100 feet beyond the intersection at Washington St.</t>
  </si>
  <si>
    <t xml:space="preserve">Install one and remove one pedestrian crossing, enhance visibility at existing crossings with pavement markings and ped yield signs, install curb ramps, ADA tactile pads, and painted curb extensions, and fill in gaps in the sidewalk network.</t>
  </si>
  <si>
    <t xml:space="preserve">Roy Morales</t>
  </si>
  <si>
    <t xml:space="preserve">(831) 453-8996</t>
  </si>
  <si>
    <t xml:space="preserve">H12-05-005</t>
  </si>
  <si>
    <t xml:space="preserve">Intersection of Covert Lane and Zimpher Drive.</t>
  </si>
  <si>
    <t xml:space="preserve">Install pedestrian-activated circular LED rapid flashing beacons, perimeter lighted pedestrian crossing signs, pedestrian pushbuttons, curb extensions, ADA ramps and refuge island, and restripe intersection approach.</t>
  </si>
  <si>
    <t xml:space="preserve">Director of Public Works</t>
  </si>
  <si>
    <t xml:space="preserve">(707) 823-5331</t>
  </si>
  <si>
    <t xml:space="preserve">H12-04-049</t>
  </si>
  <si>
    <t xml:space="preserve">Orchard Ave from Walnut Ave to Peach Tree Ave, the intersections of Christine Dr and Oak Hollow Ave, Brown St and Bennett Hill Dr, Markham Ave and Alpine St, and Markham Ave and Meadows Dr.</t>
  </si>
  <si>
    <t xml:space="preserve">Install pedestrian crossing enhancements such as radar feedback signs and rectangular rapid flashing beacons (RRFBs).</t>
  </si>
  <si>
    <t xml:space="preserve">(707) 449-5495</t>
  </si>
  <si>
    <t xml:space="preserve">H12-04-056</t>
  </si>
  <si>
    <t xml:space="preserve">Seventy-four (74) major intersections throughout the City of Chino Hills.</t>
  </si>
  <si>
    <t xml:space="preserve">Install green bike lanes and bike lane markings on green background.</t>
  </si>
  <si>
    <t xml:space="preserve">(909) 364-2618</t>
  </si>
  <si>
    <t xml:space="preserve">H12-08-006</t>
  </si>
  <si>
    <t xml:space="preserve">State-funded (HSIP Cycle 12) but smaller ($388,000) signals/beacons, striping/markings job. Good for small local contractors; check if already bid.</t>
  </si>
  <si>
    <t xml:space="preserve"> Eight (8) pedestrian crossings: Joe Nightingale Elementary (2); Patterson Elementary (2); Calzada Av &amp; Pine St; Burton Mesa Blvd &amp; Calle Quarta; Cathedral Oaks Rd &amp; Camino del Retiro; and Cathedral Oaks Rd &amp; Via Chaparral.</t>
  </si>
  <si>
    <t xml:space="preserve">Install rectangular rapid flashing beacons (RRFBs); and install raised concrete Pedestrian Refuge Islands at two of the crosswalks.</t>
  </si>
  <si>
    <t xml:space="preserve">H12-05-016</t>
  </si>
  <si>
    <t xml:space="preserve">State-funded (HSIP Cycle 12) but smaller ($388,000) striping/markings job. Good for small local contractors; check if already bid.</t>
  </si>
  <si>
    <t xml:space="preserve">Various intersections and mid block crossings.</t>
  </si>
  <si>
    <t xml:space="preserve">Upgrade 11 pedestrian crosswalks and 8 school crosswalks with improved crossing striping, stop bars, yield lines, curb ramps and detectable warning surfaces.</t>
  </si>
  <si>
    <t xml:space="preserve">H12-07-016</t>
  </si>
  <si>
    <t xml:space="preserve">Signals/beacons, Striping/markings, Signs, Traffic calming</t>
  </si>
  <si>
    <t xml:space="preserve">Non-signalized intersections of Murray/Mott and Soquel/Poplar.</t>
  </si>
  <si>
    <t xml:space="preserve">Install signage, striping, bulb-outs, islands and rectangular rapid flashing beacons (RRFBs). </t>
  </si>
  <si>
    <t xml:space="preserve">Chris Meakin</t>
  </si>
  <si>
    <t xml:space="preserve">(831) 420-5559</t>
  </si>
  <si>
    <t xml:space="preserve">H12-05-019</t>
  </si>
  <si>
    <t xml:space="preserve">State-funded (HSIP Cycle 12) but smaller ($387,800) signals/beacons job. Good for small local contractors; check if already bid.</t>
  </si>
  <si>
    <t xml:space="preserve">Various locations along Sonoma Mountain Parkway and Ely Road North.</t>
  </si>
  <si>
    <t xml:space="preserve">Install rectangular rapid flashing beacons (RRFBs) and pedestrian refuge islands.</t>
  </si>
  <si>
    <t xml:space="preserve">H12-04-040</t>
  </si>
  <si>
    <t xml:space="preserve">Arterial and collector roadways Citywide.</t>
  </si>
  <si>
    <t xml:space="preserve">Install edgelines.</t>
  </si>
  <si>
    <t xml:space="preserve">Raul Berroteran</t>
  </si>
  <si>
    <t xml:space="preserve">(951) 877-4550</t>
  </si>
  <si>
    <t xml:space="preserve">H12-08-038</t>
  </si>
  <si>
    <t xml:space="preserve">State-funded (HSIP Cycle 12) but smaller ($486,800) striping/markings job. Good for small local contractors; check if already bid.</t>
  </si>
  <si>
    <t xml:space="preserve">Fairmont from Kenyon Way to Victoria Park Ln, Kenyon Way from Fairmont Way to Woodruff Pl, Woodruff Pl from Highland Ave to Kenyon Way, Highland Ave from Woodruff Pl to Day Creek Blvd.</t>
  </si>
  <si>
    <t xml:space="preserve">Install Class II buffered bike lanes, Class II unbuffered bike lanes, Class III bike routes, install continental crosswalk and refresh existing striping.</t>
  </si>
  <si>
    <t xml:space="preserve">H12-08-025</t>
  </si>
  <si>
    <t xml:space="preserve">State-funded (HSIP Cycle 12) but smaller ($386,400) striping/markings job. Good for small local contractors; check if already bid.</t>
  </si>
  <si>
    <t xml:space="preserve">Various corridors, including 16th Street, Palm Avenue, N Avenue, and Harbison Avenue.</t>
  </si>
  <si>
    <t xml:space="preserve">Install edgeline striping. </t>
  </si>
  <si>
    <t xml:space="preserve">H12-11-008</t>
  </si>
  <si>
    <t xml:space="preserve">State-funded (HSIP Cycle 12) but smaller ($386,000) signals/beacons, striping/markings job. Good for small local contractors; check if already bid.</t>
  </si>
  <si>
    <t xml:space="preserve">Various locations throughout the County.</t>
  </si>
  <si>
    <t xml:space="preserve">Install rectangular rapid flashing beacons (RRFBs) and high visibility crosswalks.</t>
  </si>
  <si>
    <t xml:space="preserve">H12-07-045</t>
  </si>
  <si>
    <t xml:space="preserve">State-funded (HSIP Cycle 12) but smaller ($385,800) striping/markings job. Good for small local contractors; check if already bid.</t>
  </si>
  <si>
    <t xml:space="preserve">Haun Road from Scott to Holland Rd; Garbani Road from Haun Road to Briggs Road; and Scott Road from Ascot Way to Sunset Avenue. </t>
  </si>
  <si>
    <t xml:space="preserve">Install upgraded edgeline striping.</t>
  </si>
  <si>
    <t xml:space="preserve">H12-08-019</t>
  </si>
  <si>
    <t xml:space="preserve">Various locations throughout the City.</t>
  </si>
  <si>
    <t xml:space="preserve">Install rectangular rapid flashing beacons (RRFBs), raised pedestrian crossing speed tables, bulb-outs, enhanced visibility crosswalks, and LED stop signs.</t>
  </si>
  <si>
    <t xml:space="preserve">Deputy Director</t>
  </si>
  <si>
    <t xml:space="preserve">(707) 822-2428</t>
  </si>
  <si>
    <t xml:space="preserve">H12-01-002</t>
  </si>
  <si>
    <t xml:space="preserve">State-funded (HSIP Cycle 12) but smaller ($433,500) signals/beacons, striping/markings, signs job. Good for small local contractors; check if already bid.</t>
  </si>
  <si>
    <t xml:space="preserve">Various locations along the proposed Bay to Zoo Trail alignment, specifically the 2200 block of Buhne Street, 2200 block of Russ Street, and the intersection of Dolbeer and Harris Streets.</t>
  </si>
  <si>
    <t xml:space="preserve">Implement pedestrian enhancements such as flashing beacons and crosswalk improvements along the Bay to Zoo Trail alignment at high traffic mid-block crossing and non-signalized intersection.  </t>
  </si>
  <si>
    <t xml:space="preserve">H12-01-007</t>
  </si>
  <si>
    <t xml:space="preserve">State-funded (HSIP Cycle 12) but smaller ($385,000) striping/markings job. Good for small local contractors; check if already bid.</t>
  </si>
  <si>
    <t xml:space="preserve">Various locations: Ray Rd, Brown Rd, Dominion Rd ,Palmer Rd, Foxen Canyon Rd, Santa Rosa Rd, Calzada Av, Central Av, and Glen Annie Rd.</t>
  </si>
  <si>
    <t xml:space="preserve">H12-05-014</t>
  </si>
  <si>
    <t xml:space="preserve">State-funded (HSIP Cycle 12, Feb 2025) $590,000 signals/beacons, striping/markings, signs job. Money is approved and most Cycle 12 jobs bid 2026-27. Check the agency's bid page first - some may already be out to bid.</t>
  </si>
  <si>
    <t xml:space="preserve">Bundy Canyon Rd. at The Farm Rd., Bundy Canyon Rd.  at Orange St., Mission Trl. at Bundy Canyon Rd., Mission Trl. at Canyon Dr., Wildomar Trl. at Cervera Rd., Wildomar Trl. at Palomar St., Palomar St. at Gruwell St., and other locations citywide.</t>
  </si>
  <si>
    <t xml:space="preserve">Install leading pedestrian interval (LPI), audible push buttons and enhanced crosswalk striping at signalized intersections; install rectangular rapid flashing beacons (RRFBs) and mid block crossings for Class I trail.</t>
  </si>
  <si>
    <t xml:space="preserve">H12-08-037</t>
  </si>
  <si>
    <t xml:space="preserve">State-funded (HSIP Cycle 12, Feb 2025) $950,000 striping/markings job. Money is approved and most Cycle 12 jobs bid 2026-27. Check the agency's bid page first - some may already be out to bid.</t>
  </si>
  <si>
    <t xml:space="preserve">Laguna Niguel</t>
  </si>
  <si>
    <t xml:space="preserve">Golden Lantern from Crown Valley Parkway to Chapparosa Park Road, approximately 2 miles in length.</t>
  </si>
  <si>
    <t xml:space="preserve">Install vertical element separators; implement green bike lane conflict zone striping; and implement white buffer striping.</t>
  </si>
  <si>
    <t xml:space="preserve">H12-12-004</t>
  </si>
  <si>
    <t xml:space="preserve">State-funded (HSIP Cycle 12, Feb 2025) $504,000 striping/markings, signs job. Money is approved and most Cycle 12 jobs bid 2026-27. Check the agency's bid page first - some may already be out to bid.</t>
  </si>
  <si>
    <t xml:space="preserve">Ruus Rd between Folsom and Industrial, Amador St and Cypress Avenue from Elmhurst to Harder, and Soto Rd near Jackson St.
</t>
  </si>
  <si>
    <t xml:space="preserve">Install concrete islands, signage, and striping to designate and protect a Class IV separated bike lane on Ruus Rd. Install signage and striping changes to designate Class II Bike Lanes at other locations.</t>
  </si>
  <si>
    <t xml:space="preserve">H12-04-018</t>
  </si>
  <si>
    <t xml:space="preserve">On Fairway Drive between Cielito Drive and El Dorado Drive.</t>
  </si>
  <si>
    <t xml:space="preserve">Construct sidewalk, curb ramps, and pedestrian crosswalk.</t>
  </si>
  <si>
    <t xml:space="preserve">Public Works Director</t>
  </si>
  <si>
    <t xml:space="preserve">(760) 346-2489</t>
  </si>
  <si>
    <t xml:space="preserve">H12-08-014</t>
  </si>
  <si>
    <t xml:space="preserve">State-funded (HSIP Cycle 12) but smaller ($382,300) striping/markings, signs job. Good for small local contractors; check if already bid.</t>
  </si>
  <si>
    <t xml:space="preserve">Auburn Folsom Road and Horseshoe Bar Road in Loomis.  Portions of Wise/West Wise Road and Nicolaus Road in Lincoln. All of Lincoln-Sheridan Blvd in Lincoln.  Mt. Vernon Road in Auburn.  Taylor Road in Penryn/Loomis.  </t>
  </si>
  <si>
    <t xml:space="preserve">Install "Pass-3 Ft. Min" signs on various roadways; replace and install new "Bike Lane" signage and markings on Taylor, Auburn Folsom Road and Lincoln-Sheridan Blvd; and  add conflict markings to Taylor Road.  </t>
  </si>
  <si>
    <t xml:space="preserve">H12-03-015</t>
  </si>
  <si>
    <t xml:space="preserve">Four pedestrian crossings: Linear Park Trail &amp; Beck Avenue, Linear Park Trail &amp; Fairfield Avenue, Linear Park Trail &amp; Union Avenue, and Mankas Boulevard midblock crossing near Mankas Neighborhood Park.</t>
  </si>
  <si>
    <t xml:space="preserve">Install rectangular rapid flashing beacons (RRFBs) and other standard crossing treatments including signing, striping, and curb enhancements. </t>
  </si>
  <si>
    <t xml:space="preserve">Communications</t>
  </si>
  <si>
    <t xml:space="preserve">(707) 428-7720</t>
  </si>
  <si>
    <t xml:space="preserve">H12-04-012</t>
  </si>
  <si>
    <t xml:space="preserve">State-funded (HSIP Cycle 12) but smaller ($380,600) signals/beacons, striping/markings, signs job. Good for small local contractors; check if already bid.</t>
  </si>
  <si>
    <t xml:space="preserve">College Ave and S Livermore Ave, Hansen Rd and Arroyo Rd, East Ave and Mitra St, Springtown Blvd and Rhododendron Dr.</t>
  </si>
  <si>
    <t xml:space="preserve">Improve crossing signage and striping, and install rectangular rapid flashing beacons (RRFBs).</t>
  </si>
  <si>
    <t xml:space="preserve">H12-04-024</t>
  </si>
  <si>
    <t xml:space="preserve">State-funded (HSIP Cycle 12) but smaller ($380,300) signals/beacons job. Good for small local contractors; check if already bid.</t>
  </si>
  <si>
    <t xml:space="preserve">Carpinteria</t>
  </si>
  <si>
    <t xml:space="preserve">Carpinteria High School crosswalk.</t>
  </si>
  <si>
    <t xml:space="preserve">Install a pedestrian hybrid beacon.</t>
  </si>
  <si>
    <t xml:space="preserve">H12-05-002</t>
  </si>
  <si>
    <t xml:space="preserve">State-funded (HSIP Cycle 12) but smaller ($379,800) signals/beacons, striping/markings, signs job. Good for small local contractors; check if already bid.</t>
  </si>
  <si>
    <t xml:space="preserve">H Street in Sheridan, Foresthill Road in the town of Foresthill, Auburn Folsom Road in Granite Bay north of Douglas Blvd and Wellington Way at Granite Bay High School in Granite Bay.   </t>
  </si>
  <si>
    <t xml:space="preserve">Install continental crosswalks in Sheridan on H Street, continental crosswalk, rectangular rapid flashing beacons (RRFBs) and one dynamic flashing speed limit sign in Foresthill and convert existing HAWK signal to pedestrian signal in Granite Bay.  </t>
  </si>
  <si>
    <t xml:space="preserve">H12-03-017</t>
  </si>
  <si>
    <t xml:space="preserve">Locations along E. Branch east of Mason Street to Le Point Terrace and Huasna Road at Rosewood Lane near Strother Park. </t>
  </si>
  <si>
    <t xml:space="preserve">Improve pedestrian access to schools and parks by constructing crosswalks with bulb-outs, rectangular rapid flashing beacons (RRFBs), signage and island refuge. Add bulb-outs at E. Branch. </t>
  </si>
  <si>
    <t xml:space="preserve">Parks Department</t>
  </si>
  <si>
    <t xml:space="preserve">(805) 473-5100</t>
  </si>
  <si>
    <t xml:space="preserve">H12-05-001</t>
  </si>
  <si>
    <t xml:space="preserve">Various locations along 6th Street.</t>
  </si>
  <si>
    <t xml:space="preserve">Install rectangular rapid flashing beacons (RRFBs), LED flashing stop signs, advanced yield lines/signs, and re-stripe high-visibility crosswalks.</t>
  </si>
  <si>
    <t xml:space="preserve">Damon Mcminn</t>
  </si>
  <si>
    <t xml:space="preserve">(661) 763-3101</t>
  </si>
  <si>
    <t xml:space="preserve">H12-06-025</t>
  </si>
  <si>
    <t xml:space="preserve">State-funded (HSIP Cycle 12) but smaller ($373,000) signals/beacons, striping/markings job. Good for small local contractors; check if already bid.</t>
  </si>
  <si>
    <t xml:space="preserve">Various unsignalized pedestrian crossings.</t>
  </si>
  <si>
    <t xml:space="preserve">Install rectangular rapid flashing beacons (RRFBs), high visibility crosswalk striping, and construct curb ramps.</t>
  </si>
  <si>
    <t xml:space="preserve">H12-08-020</t>
  </si>
  <si>
    <t xml:space="preserve">County Road 60 from I-5 to SR 162.</t>
  </si>
  <si>
    <t xml:space="preserve">Install centerline, edgelines and rumble strips, and replace striping.</t>
  </si>
  <si>
    <t xml:space="preserve">Matthew J. Gomes</t>
  </si>
  <si>
    <t xml:space="preserve">(530) 934-6530</t>
  </si>
  <si>
    <t xml:space="preserve">H12-03-012</t>
  </si>
  <si>
    <t xml:space="preserve">Intersections of Villa St at Chester Ave, Arroyo Blvd at Seco St, and  Bellefontaine St at Fairmount Ave.</t>
  </si>
  <si>
    <t xml:space="preserve">Install rectangular rapid flashing beacons (RRFBs) with updated curb ramps, signage, lighting and striping.</t>
  </si>
  <si>
    <t xml:space="preserve">Kenneth J Gurwell</t>
  </si>
  <si>
    <t xml:space="preserve">(626) 744-7418</t>
  </si>
  <si>
    <t xml:space="preserve">H12-07-024</t>
  </si>
  <si>
    <t xml:space="preserve">State-funded (HSIP Cycle 12) but smaller ($357,600) signals/beacons, striping/markings, signs, traffic calming job. Good for small local contractors; check if already bid.</t>
  </si>
  <si>
    <t xml:space="preserve">Crossings at the intersections of Atlantic Pl./Bentley Ave., Mary Dr., Sonya Ln./Western Ave., Provance Ave./Ped.Trail, Morrison/Lincoln, and McCLelland St./ Newlove Dr.</t>
  </si>
  <si>
    <t xml:space="preserve">Insall raised pedestrian crossings/speed tables, signage/striping, and rectangular rapid flashing beacons (RRFBs).</t>
  </si>
  <si>
    <t xml:space="preserve">H12-05-022</t>
  </si>
  <si>
    <t xml:space="preserve">State-funded (HSIP Cycle 12) but smaller ($350,000) signals/beacons, striping/markings, signs job. Good for small local contractors; check if already bid.</t>
  </si>
  <si>
    <t xml:space="preserve">The intersection of San Joaquin St and Park Ave.</t>
  </si>
  <si>
    <t xml:space="preserve">Upgrade pedestrian crossing with rectangular rapid flashing beacons (RRFBs), curb extensions, traffic signs, stripes and pavement markings.</t>
  </si>
  <si>
    <t xml:space="preserve">H12-06-001</t>
  </si>
  <si>
    <t xml:space="preserve">State-funded (HSIP Cycle 12) but smaller ($350,000) signals/beacons job. Good for small local contractors; check if already bid.</t>
  </si>
  <si>
    <t xml:space="preserve">The intersection of Bainum Avenue and Letts Avenue.</t>
  </si>
  <si>
    <t xml:space="preserve">Upgrade pedestrian crossing at uncontrolled intersection with enhanced safety features including flashing beacons and curb extensions.</t>
  </si>
  <si>
    <t xml:space="preserve">H12-06-005</t>
  </si>
  <si>
    <t xml:space="preserve">Striping/markings, Signs, Traffic calming</t>
  </si>
  <si>
    <t xml:space="preserve">Kearney Boulevard and Del Norte Avenue, First Street and El Mar Avenue, and First Sreet and F Street.</t>
  </si>
  <si>
    <t xml:space="preserve">Improve school pedestrian crossing and intersection safety by installing high visibility crosswalks, advance pedestrian crossing signs and concrete curb bulb-outs.</t>
  </si>
  <si>
    <t xml:space="preserve">(559) 846-6634</t>
  </si>
  <si>
    <t xml:space="preserve">H12-06-013</t>
  </si>
  <si>
    <t xml:space="preserve">The intersection of 19th Ave and Freedom Dr.</t>
  </si>
  <si>
    <t xml:space="preserve">Upgrade pedestrian crossing with enhanced safety features including in-roadway warning lights, bulb-outs, signs, stripes and pavement markings.</t>
  </si>
  <si>
    <t xml:space="preserve">(559) 924-9574</t>
  </si>
  <si>
    <t xml:space="preserve">H12-06-017</t>
  </si>
  <si>
    <t xml:space="preserve">State-funded (HSIP Cycle 12) but smaller ($350,000) striping/markings, signs job. Good for small local contractors; check if already bid.</t>
  </si>
  <si>
    <t xml:space="preserve">Parlier</t>
  </si>
  <si>
    <t xml:space="preserve">The intersection of Newmark Avenue and 1st Street.</t>
  </si>
  <si>
    <t xml:space="preserve">Install raised pedestrian crossing and crossing enhancements including striping, signage and markings.</t>
  </si>
  <si>
    <t xml:space="preserve">H12-06-022</t>
  </si>
  <si>
    <t xml:space="preserve">State-funded (HSIP Cycle 12) but smaller ($349,600) signals/beacons, striping/markings job. Good for small local contractors; check if already bid.</t>
  </si>
  <si>
    <t xml:space="preserve">The intersection of Dracaea Avenue and Helmsdale Street.</t>
  </si>
  <si>
    <t xml:space="preserve">Construct an enhanced crosswalk with pedestrian hybrid beacons and ADA compliant ramps.</t>
  </si>
  <si>
    <t xml:space="preserve">H12-08-024</t>
  </si>
  <si>
    <t xml:space="preserve">Three unsignalized intersections along the San Bruno Avenue West corridor, between El Camino Real and Seventh Avenue.</t>
  </si>
  <si>
    <t xml:space="preserve">Install rectangular rapid flashing beacons (RRFBs) at two intersections; install crosswalk striping/signage improvements at two intersections. </t>
  </si>
  <si>
    <t xml:space="preserve">Captain Jeremy Brandenburg</t>
  </si>
  <si>
    <t xml:space="preserve">(650) 616-7100</t>
  </si>
  <si>
    <t xml:space="preserve">H12-04-042</t>
  </si>
  <si>
    <t xml:space="preserve">State-funded (HSIP Cycle 12) but smaller ($348,200) striping/markings, signs job. Good for small local contractors; check if already bid.</t>
  </si>
  <si>
    <t xml:space="preserve">Van Buren Boulevard between Arlington Avenue and Magnolia Avenue.</t>
  </si>
  <si>
    <t xml:space="preserve">Install / convert existing Class II bike lane to Class II buffered bike lane, including striping removals, new striping installation, pavement legends, bicycle detection, and signage modifications.</t>
  </si>
  <si>
    <t xml:space="preserve">H12-08-034</t>
  </si>
  <si>
    <t xml:space="preserve">State-funded (HSIP Cycle 12) but smaller ($348,100) signals/beacons, striping/markings, signs job. Good for small local contractors; check if already bid.</t>
  </si>
  <si>
    <t xml:space="preserve">Various locations throughout the City</t>
  </si>
  <si>
    <t xml:space="preserve">Install enhanced safety features including rectangular rapid flashing beacons (RRFBs), LED flashing stop signs, advanced yield lines/signs, and re-stripe high visibility crosswalks.</t>
  </si>
  <si>
    <t xml:space="preserve">H12-06-026</t>
  </si>
  <si>
    <t xml:space="preserve">Auberry Dr at Monterey Trail High School, Bellaterra Dr at Valgrande Way, Elk Grove Florin Rd at Park Trail Dr, Elk Grove Florin Rd at Tralee Wy, Kyler Rd at Kammerer Park, Soaring Oaks Dr at Carrcroft Dr, and Vicino Dr at Laguna Creek High School.</t>
  </si>
  <si>
    <t xml:space="preserve">Install rectangular rapid flashing beacons (RRFBs) at uncontrolled crossings.</t>
  </si>
  <si>
    <t xml:space="preserve">Shoaib Ahrary</t>
  </si>
  <si>
    <t xml:space="preserve">(916) 627-3445</t>
  </si>
  <si>
    <t xml:space="preserve">H12-03-011</t>
  </si>
  <si>
    <t xml:space="preserve">State-funded (HSIP Cycle 12) but smaller ($344,400) striping/markings job. Good for small local contractors; check if already bid.</t>
  </si>
  <si>
    <t xml:space="preserve">Cavitt Stallman Road in Granite Bay, Applegate Road and Crother Road in Applegate, Dry Creek Road in Auburn, Giesendorfer Road in Weimar,  Magra Road in Colfax and portions of McCourtney Road north of Lincoln.  </t>
  </si>
  <si>
    <t xml:space="preserve">Install edgeline striping.</t>
  </si>
  <si>
    <t xml:space="preserve">H12-03-014</t>
  </si>
  <si>
    <t xml:space="preserve">On 1st Street between Downtown Plaza and Euclid Street, on Bristol Street from Riverglen Lane to Willits Avenue, and Broadway/Washington Avenue  and Main Street/17th Street Intersections.</t>
  </si>
  <si>
    <t xml:space="preserve">Install high visibility marked crosswalks.</t>
  </si>
  <si>
    <t xml:space="preserve">Ethan Fisher</t>
  </si>
  <si>
    <t xml:space="preserve">(714) 647-6546</t>
  </si>
  <si>
    <t xml:space="preserve">H12-12-013</t>
  </si>
  <si>
    <t xml:space="preserve">Three locations throughout the city.</t>
  </si>
  <si>
    <t xml:space="preserve">Install rectangular rapid flashing Beacons; Install and upgrade high visibility pedestrian crossing markings.</t>
  </si>
  <si>
    <t xml:space="preserve">(530) 747-8221</t>
  </si>
  <si>
    <t xml:space="preserve">H12-03-007</t>
  </si>
  <si>
    <t xml:space="preserve">State-funded (HSIP Cycle 12) but smaller ($338,000) signals/beacons job. Good for small local contractors; check if already bid.</t>
  </si>
  <si>
    <t xml:space="preserve">Farmersville</t>
  </si>
  <si>
    <t xml:space="preserve">Intersection of N Magnolia Avenue and E Visalia Road; Intersection of S Farmersville Boulevard and E Oakland Street. </t>
  </si>
  <si>
    <t xml:space="preserve">Install/upgrade pedestrian crossings with enhanced safety features for pedestrians, and install rectangular rapid flashing beacons (RRFBs). </t>
  </si>
  <si>
    <t xml:space="preserve">H12-06-007</t>
  </si>
  <si>
    <t xml:space="preserve">The intersections of Montebello Oaks Dr &amp; Union Rd, 21st &amp; Spring, 17th &amp; Spring and Nickerson Dr at Centennial Trail crossing.</t>
  </si>
  <si>
    <t xml:space="preserve">Install rectangular rapid flashing beacons (RRFBs) at crossings.</t>
  </si>
  <si>
    <t xml:space="preserve">Radio Coordinator</t>
  </si>
  <si>
    <t xml:space="preserve">(805) 237-6464</t>
  </si>
  <si>
    <t xml:space="preserve">H12-05-003</t>
  </si>
  <si>
    <t xml:space="preserve">State-funded (HSIP Cycle 12) but smaller ($308,800) signals/beacons, signs job. Good for small local contractors; check if already bid.</t>
  </si>
  <si>
    <t xml:space="preserve">2 signalized intersections at Santa Anita Ave/Lower Azusa Rd &amp; Santa Anita Ave/Kings Row; 1 signalized intersection at Valley Blvd/Gibson Rd.</t>
  </si>
  <si>
    <t xml:space="preserve">Provide protected left turn phasing; convert signal to mast arm from pedestal-mounted; and implement leading pedestrian interval (LPI).</t>
  </si>
  <si>
    <t xml:space="preserve">H12-07-013</t>
  </si>
  <si>
    <t xml:space="preserve">State-funded (HSIP Cycle 12) but smaller ($307,200) striping/markings, signs job. Good for small local contractors; check if already bid.</t>
  </si>
  <si>
    <t xml:space="preserve">The intersection of W Aviation Road and S Main Avenue in the community of Fallbrook.</t>
  </si>
  <si>
    <t xml:space="preserve">Convert intersection to all-way stop control; provide pedestrian connection and pedestrian ramps; and provide/enhance advanced warning signage and markings.</t>
  </si>
  <si>
    <t xml:space="preserve">H12-11-011</t>
  </si>
  <si>
    <t xml:space="preserve">State-funded (HSIP Cycle 12) but smaller ($302,400) striping/markings, signs job. Good for small local contractors; check if already bid.</t>
  </si>
  <si>
    <t xml:space="preserve">San Eljay Avenue &amp; Doral Way, Dinah Shore Drive &amp; Corregidor Drive, San Luis Rey Drive N &amp; San Gabriel Circle E,  San Luis Rey Drive S &amp; San Gabriel Circle E,  Ramon Road &amp; Neuma Drive, and Ramon Road &amp; Avenida Alvera / Canyon Vista Road.</t>
  </si>
  <si>
    <t xml:space="preserve">Install pedestrian crossing at uncontrolled locations (signs and markings only) including pedestrian ramp upgrades, signing and striping.</t>
  </si>
  <si>
    <t xml:space="preserve">H12-08-004</t>
  </si>
  <si>
    <t xml:space="preserve">State-funded (HSIP Cycle 12) but smaller ($299,700) signals/beacons, striping/markings, signs job. Good for small local contractors; check if already bid.</t>
  </si>
  <si>
    <t xml:space="preserve">Uncontrolled pedestrian crossings at intersections of Rives Ave &amp; Adwen St and Conrad St &amp; Montgomery St.</t>
  </si>
  <si>
    <t xml:space="preserve">Upgrade crosswalks to include rectangular rapid flashing beacons (RRFBs), high visibility signing and striping.</t>
  </si>
  <si>
    <t xml:space="preserve">H12-07-008</t>
  </si>
  <si>
    <t xml:space="preserve">State-funded (HSIP Cycle 12) but smaller ($298,600) signals/beacons job. Good for small local contractors; check if already bid.</t>
  </si>
  <si>
    <t xml:space="preserve">Two school crossings and other various locations.</t>
  </si>
  <si>
    <t xml:space="preserve">Install rectangular rapid flashing beacons (RRFBs) at two school crossings and pedestrian crossing upgrades at various locations. </t>
  </si>
  <si>
    <t xml:space="preserve">H12-08-031</t>
  </si>
  <si>
    <t xml:space="preserve">State-funded (HSIP Cycle 12) but smaller ($297,300) striping/markings job. Good for small local contractors; check if already bid.</t>
  </si>
  <si>
    <t xml:space="preserve">Twelve (12) street segments approximately 8.5 miles in length.</t>
  </si>
  <si>
    <t xml:space="preserve">Install edgelines striping.</t>
  </si>
  <si>
    <t xml:space="preserve">H12-12-008</t>
  </si>
  <si>
    <t xml:space="preserve">State-funded (HSIP Cycle 12) but smaller ($335,600) striping/markings job. Good for small local contractors; check if already bid.</t>
  </si>
  <si>
    <t xml:space="preserve">Valley Rd from Jennifer Way to Las Palmas St.</t>
  </si>
  <si>
    <t xml:space="preserve">Install raised crosswalks.</t>
  </si>
  <si>
    <t xml:space="preserve">H12-08-010</t>
  </si>
  <si>
    <t xml:space="preserve">State-funded (HSIP Cycle 12) but smaller ($283,400) striping/markings job. Good for small local contractors; check if already bid.</t>
  </si>
  <si>
    <t xml:space="preserve">Texas Street/N Texas Street from Union Avenue to E Travis Boulevard.
</t>
  </si>
  <si>
    <t xml:space="preserve">Install new bike lanes and re-stripe existing channelization.</t>
  </si>
  <si>
    <t xml:space="preserve">H12-04-013</t>
  </si>
  <si>
    <t xml:space="preserve">State-funded (HSIP Cycle 12) but smaller ($271,800) signals/beacons, signs job. Good for small local contractors; check if already bid.</t>
  </si>
  <si>
    <t xml:space="preserve">22 traffic signals at various locations.</t>
  </si>
  <si>
    <t xml:space="preserve">Install leading pedestrian interval (LPI) at 22 traffic signals, replace 10 pedestrian indications with countdown timers, and install Accessible Pedestrian Systems (APS) at 4 traffic signals.</t>
  </si>
  <si>
    <t xml:space="preserve">H12-07-002</t>
  </si>
  <si>
    <t xml:space="preserve">State-funded (HSIP Cycle 12) but smaller ($270,500) striping/markings job. Good for small local contractors; check if already bid.</t>
  </si>
  <si>
    <t xml:space="preserve">Vallejo</t>
  </si>
  <si>
    <t xml:space="preserve">Major collector streets including Admiral Callaghan Lane, Ascot Parkway, Benicia Road, Borges Lane, Camino Alto, Corcoran Avenue, Florida Street, Glen Cove Parkway, Nebraska Street, and Whitney Avenue.</t>
  </si>
  <si>
    <t xml:space="preserve">H12-04-057</t>
  </si>
  <si>
    <t xml:space="preserve">State-funded (HSIP Cycle 12) but smaller ($260,900) striping/markings, signs job. Good for small local contractors; check if already bid.</t>
  </si>
  <si>
    <t xml:space="preserve">Stripe high visibility crossings, install bike lanes and buffered bike lanes, replaceg paint with thermoplastic striping, and install signs.</t>
  </si>
  <si>
    <t xml:space="preserve">H12-01-001</t>
  </si>
  <si>
    <t xml:space="preserve">State-funded (HSIP Cycle 12) but smaller ($250,500) signals/beacons, signs job. Good for small local contractors; check if already bid.</t>
  </si>
  <si>
    <t xml:space="preserve">10 signalized intersections along a segment of Central Avenue from Riverside Drive to Phillips Boulevard. </t>
  </si>
  <si>
    <t xml:space="preserve">Install yellow retroreflective borders on traffic signal back-plates and install new near-side signal heads.</t>
  </si>
  <si>
    <t xml:space="preserve">H12-08-005</t>
  </si>
  <si>
    <t xml:space="preserve">Intersection of: La Cadena Dr./D St., La Cadena Dr./E St., La Cadena Dr./Hanna St., La Cadena Dr./B St., 9th Street/D Street and Washington St./RV Center Drive (west).</t>
  </si>
  <si>
    <t xml:space="preserve">Install rectangular rapid flashing beacons (RRFBs), signs, striping and other safety measures.</t>
  </si>
  <si>
    <t xml:space="preserve">(909) 370-5179</t>
  </si>
  <si>
    <t xml:space="preserve">H12-08-011</t>
  </si>
  <si>
    <t xml:space="preserve">State-funded (HSIP Cycle 12) but smaller ($234,000) striping/markings job. Good for small local contractors; check if already bid.</t>
  </si>
  <si>
    <t xml:space="preserve">Eight intersections in underserved areas of Long Beach.</t>
  </si>
  <si>
    <t xml:space="preserve">Mark high-contrast thermoplastic continental crosswalks in place of faded or outdated parallel bar crosswalks.</t>
  </si>
  <si>
    <t xml:space="preserve">H12-07-021</t>
  </si>
  <si>
    <t xml:space="preserve">State-funded (HSIP Cycle 12) but smaller ($232,200) signs job. Good for small local contractors; check if already bid.</t>
  </si>
  <si>
    <t xml:space="preserve">North San Pedro Road in San Rafael, Pinehill Road in Mill Valley, and variable location for portable trailer.</t>
  </si>
  <si>
    <t xml:space="preserve">Install radar feedback signs and deploy portable radar feedback trailer in various locations.</t>
  </si>
  <si>
    <t xml:space="preserve">(415) 464-7042</t>
  </si>
  <si>
    <t xml:space="preserve">H12-04-026</t>
  </si>
  <si>
    <t xml:space="preserve">Sutter County</t>
  </si>
  <si>
    <t xml:space="preserve">The intersection of Market Street and Bird Street.</t>
  </si>
  <si>
    <t xml:space="preserve">Install pedestrian hybrid beacons.</t>
  </si>
  <si>
    <t xml:space="preserve">Brian Hansen</t>
  </si>
  <si>
    <t xml:space="preserve">(530) 822-1201</t>
  </si>
  <si>
    <t xml:space="preserve">H12-03-027</t>
  </si>
  <si>
    <t xml:space="preserve">Three locations: Arata Lane at Old Redwood Highway; Old Redwood Highway at U.S. 101 underpass; and Old Redwood Highway and Pool Creek. </t>
  </si>
  <si>
    <t xml:space="preserve">Replace damaged guardrails.</t>
  </si>
  <si>
    <t xml:space="preserve">(707) 838-5978</t>
  </si>
  <si>
    <t xml:space="preserve">H12-04-059</t>
  </si>
  <si>
    <t xml:space="preserve">Nine pedestrian crossings: one at N 1st Street and E B Street, all four legs at Watson Ranch Way and Pitt School Road, and all four legs at Watson Ranch Way and N Lincoln Street.</t>
  </si>
  <si>
    <t xml:space="preserve">(707) 678-7000</t>
  </si>
  <si>
    <t xml:space="preserve">H12-04-010</t>
  </si>
  <si>
    <t xml:space="preserve">State-funded (HSIP Cycle 12) but smaller ($160,200) striping/markings job. Good for small local contractors; check if already bid.</t>
  </si>
  <si>
    <t xml:space="preserve">N Adams Street between W A Street and N 1st Street/SR 113.</t>
  </si>
  <si>
    <t xml:space="preserve">Install buffered bike lanes, refresh bike lane striping and existing channelization, and add green conflict zone markings.</t>
  </si>
  <si>
    <t xml:space="preserve">H12-04-011</t>
  </si>
  <si>
    <t xml:space="preserve">State-funded (HSIP Cycle 12) but smaller ($174,000) striping/markings, signs job. Good for small local contractors; check if already bid.</t>
  </si>
  <si>
    <t xml:space="preserve">Sections of Camino Pablo; Brookwood Rd; Crestview Dr; Lost Valley Dr, Miner Rd; and Orinda Wy.</t>
  </si>
  <si>
    <t xml:space="preserve">Install speed warning signs, chevron signs, and rumble strips.</t>
  </si>
  <si>
    <t xml:space="preserve">H12-04-036</t>
  </si>
  <si>
    <t xml:space="preserve">State-funded (HSIP Cycle 12) but smaller ($147,200) striping/markings, signs job. Good for small local contractors; check if already bid.</t>
  </si>
  <si>
    <t xml:space="preserve">Tuolumne Road from Mono Way in East Sonora to Tuolumne Road North in Tuolumne City.</t>
  </si>
  <si>
    <t xml:space="preserve">Enhance the centerline striping with the addition of recessed retroreflective pavement markers.</t>
  </si>
  <si>
    <t xml:space="preserve">H12-10-013</t>
  </si>
  <si>
    <t xml:space="preserve">State-funded (HSIP Cycle 12) but smaller ($131,900) striping/markings, signs job. Good for small local contractors; check if already bid.</t>
  </si>
  <si>
    <t xml:space="preserve">Install white and yellow reflective thermoplastic striping and retroreflective pavement marker.</t>
  </si>
  <si>
    <t xml:space="preserve">H12-01-003</t>
  </si>
  <si>
    <t xml:space="preserve">Five (5) intersections along the San Gabriel Blvd corridor and the Las Tunas Dr. corridor, including the intersection of San Gabriel and Las Tunas.</t>
  </si>
  <si>
    <t xml:space="preserve">Install delineators, reflectors and/or object markers, improve signal hardware, install raised pavement markers and striping , and modify signal phasing for leading pedestrian interval (LPI).</t>
  </si>
  <si>
    <t xml:space="preserve">(626) 308-2844</t>
  </si>
  <si>
    <t xml:space="preserve">H12-07-029</t>
  </si>
  <si>
    <t xml:space="preserve">State-funded (HSIP Cycle 12) but smaller ($130,500) signals/beacons, signs job. Good for small local contractors; check if already bid.</t>
  </si>
  <si>
    <t xml:space="preserve">Five (5) stop-controlled intersections: Moraga Way and Orchard Rd; Moraga Way and Stein Way; Crestview Dr. and Richard Court and Valley View Dr; Miner Rd and Poppy Lane; and Lost Valley Dr and Valley View Dr and Don Gabriel Way.
</t>
  </si>
  <si>
    <t xml:space="preserve">Install flashing beacons at stop sign and flashing beacons as advance warning.
</t>
  </si>
  <si>
    <t xml:space="preserve">H12-04-035</t>
  </si>
  <si>
    <t xml:space="preserve">State-funded (HSIP Cycle 12) but smaller ($200,000) signals/beacons, striping/markings, signs job. Good for small local contractors; check if already bid.</t>
  </si>
  <si>
    <t xml:space="preserve">The intersection of Creston &amp; Golden Hill.</t>
  </si>
  <si>
    <t xml:space="preserve">Modify/upgrade signal along with signage and striping.</t>
  </si>
  <si>
    <t xml:space="preserve">H12-05-004</t>
  </si>
  <si>
    <t xml:space="preserve">State-funded (HSIP Cycle 12) but smaller ($110,000) signals/beacons, signs job. Good for small local contractors; check if already bid.</t>
  </si>
  <si>
    <t xml:space="preserve">The intersection of Las Posas Road and Laguna Road.</t>
  </si>
  <si>
    <t xml:space="preserve">Install flashing beacons and daytime headlight section signage.</t>
  </si>
  <si>
    <t xml:space="preserve">H12-07-044</t>
  </si>
  <si>
    <t xml:space="preserve">State-funded (HSIP Cycle 12) but smaller ($51,100) striping/markings, signs job. Good for small local contractors; check if already bid.</t>
  </si>
  <si>
    <t xml:space="preserve">Non-signalized intersection: California Boulevard and Pueblo Avenue.</t>
  </si>
  <si>
    <t xml:space="preserve">Install upgraded stop signs and intersection pavement markings.</t>
  </si>
  <si>
    <t xml:space="preserve">H12-04-031</t>
  </si>
  <si>
    <t xml:space="preserve">State-funded (HSIP Cycle 12) but smaller ($50,700) signals/beacons, signs job. Good for small local contractors; check if already bid.</t>
  </si>
  <si>
    <t xml:space="preserve">Clayton</t>
  </si>
  <si>
    <t xml:space="preserve">Thirteen (13) signalized intersections.</t>
  </si>
  <si>
    <t xml:space="preserve">Upgrade signal heads with retroreflective backplates.</t>
  </si>
  <si>
    <t xml:space="preserve">H12-04-001</t>
  </si>
  <si>
    <t xml:space="preserve">California buyer signals - how to use</t>
  </si>
  <si>
    <t xml:space="preserve">Newest signals = items California city and county councils voted on or listed since Aug 31, 2026 that involve signals, striping, signs or safety. Pulled from each council's public agenda system (Legistar) for 33 cities and 8 counties. These are the earliest public signals - before any bid is posted.</t>
  </si>
  <si>
    <t xml:space="preserve">Tier 1 = hottest: design engineer just hired (construction bid next) or a contract was cancelled (re-bid coming). Tier 2 = applied for a state/federal safety grant (money likely 2027). Tier 3 = early planning. Tier 4 = already awarded (winner may need subcontractors or suppliers).</t>
  </si>
  <si>
    <t xml:space="preserve">HSIP funded (Cycle 12) = 2025 state list of funded road-safety projects with sign/striping/signal/beacon work. The money is approved; most go out to bid in 2026-27. Source: Caltrans Local Assistance, listoffundedprojectsr120250306.xlsx.</t>
  </si>
  <si>
    <t xml:space="preserve">Emails come from each agency's FCC radio licence (public works first). Not verified yet - run them through your verification tool before sending.</t>
  </si>
  <si>
    <t xml:space="preserve">Sources: webapi.legistar.com (council records), dot.ca.gov HSIP approved project lists, data.fcc.gov ULS (Oct 25, 2026 file).</t>
  </si>
</sst>
</file>

<file path=xl/styles.xml><?xml version="1.0" encoding="utf-8"?>
<styleSheet xmlns="http://schemas.openxmlformats.org/spreadsheetml/2006/main">
  <numFmts count="4">
    <numFmt numFmtId="164" formatCode="General"/>
    <numFmt numFmtId="165" formatCode="mm/dd/yyyy"/>
    <numFmt numFmtId="166" formatCode="\$#,##0"/>
    <numFmt numFmtId="167" formatCode="0.0%"/>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u val="single"/>
      <sz val="10"/>
      <color rgb="FF0563C1"/>
      <name val="Arial"/>
      <family val="0"/>
      <charset val="1"/>
    </font>
    <font>
      <b val="true"/>
      <sz val="12"/>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FF00"/>
        <bgColor rgb="FFFFFF00"/>
      </patternFill>
    </fill>
    <fill>
      <patternFill patternType="solid">
        <fgColor rgb="FFFFF2CC"/>
        <bgColor rgb="FFEDEDED"/>
      </patternFill>
    </fill>
    <fill>
      <patternFill patternType="solid">
        <fgColor rgb="FFEDEDED"/>
        <bgColor rgb="FFDDEBF7"/>
      </patternFill>
    </fill>
    <fill>
      <patternFill patternType="solid">
        <fgColor rgb="FFDDEBF7"/>
        <bgColor rgb="FFEDEDE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6" fontId="5" fillId="0" borderId="0" xfId="0" applyFont="true" applyBorder="false" applyAlignment="true" applyProtection="false">
      <alignment horizontal="general" vertical="top" textRotation="0" wrapText="false" indent="0" shrinkToFit="false"/>
      <protection locked="true" hidden="false"/>
    </xf>
    <xf numFmtId="167" fontId="5" fillId="0" borderId="0" xfId="0" applyFont="true" applyBorder="false" applyAlignment="true" applyProtection="false">
      <alignment horizontal="general" vertical="top" textRotation="0" wrapText="fals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5" borderId="0" xfId="0" applyFont="true" applyBorder="false" applyAlignment="true" applyProtection="false">
      <alignment horizontal="general" vertical="top" textRotation="0" wrapText="false" indent="0" shrinkToFit="false"/>
      <protection locked="true" hidden="false"/>
    </xf>
    <xf numFmtId="164" fontId="5" fillId="6"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fals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FFF00"/>
          <bgColor rgb="FF000000"/>
        </patternFill>
      </fill>
    </dxf>
    <dxf>
      <fill>
        <patternFill patternType="solid">
          <fgColor rgb="FF0563C1"/>
          <bgColor rgb="FF000000"/>
        </patternFill>
      </fill>
    </dxf>
    <dxf>
      <fill>
        <patternFill patternType="solid">
          <fgColor rgb="FFDD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ityoforange.legistar.com/LegislationDetail.aspx?ID=5962&amp;GUID=D6B8F1BD-3305-4705-9696-3E351AB1CBED" TargetMode="External"/><Relationship Id="rId2" Type="http://schemas.openxmlformats.org/officeDocument/2006/relationships/hyperlink" Target="https://cityoforange.legistar.com/LegislationDetail.aspx?ID=5962&amp;GUID=D6B8F1BD-3305-4705-9696-3E351AB1CBED" TargetMode="External"/><Relationship Id="rId3" Type="http://schemas.openxmlformats.org/officeDocument/2006/relationships/hyperlink" Target="https://cityoforange.legistar.com/LegislationDetail.aspx?ID=5962&amp;GUID=D6B8F1BD-3305-4705-9696-3E351AB1CBED" TargetMode="External"/><Relationship Id="rId4" Type="http://schemas.openxmlformats.org/officeDocument/2006/relationships/hyperlink" Target="https://cityoforange.legistar.com/LegislationDetail.aspx?ID=5962&amp;GUID=D6B8F1BD-3305-4705-9696-3E351AB1CBED" TargetMode="External"/><Relationship Id="rId5" Type="http://schemas.openxmlformats.org/officeDocument/2006/relationships/hyperlink" Target="https://cityoforange.legistar.com/LegislationDetail.aspx?ID=5870&amp;GUID=91752456-D0B8-45E3-92A2-23EECED4199B" TargetMode="External"/><Relationship Id="rId6" Type="http://schemas.openxmlformats.org/officeDocument/2006/relationships/hyperlink" Target="https://cityoforange.legistar.com/LegislationDetail.aspx?ID=5870&amp;GUID=91752456-D0B8-45E3-92A2-23EECED4199B" TargetMode="External"/><Relationship Id="rId7" Type="http://schemas.openxmlformats.org/officeDocument/2006/relationships/hyperlink" Target="https://cityoforange.legistar.com/LegislationDetail.aspx?ID=5870&amp;GUID=91752456-D0B8-45E3-92A2-23EECED4199B" TargetMode="External"/><Relationship Id="rId8" Type="http://schemas.openxmlformats.org/officeDocument/2006/relationships/hyperlink" Target="https://cityoforange.legistar.com/LegislationDetail.aspx?ID=5870&amp;GUID=91752456-D0B8-45E3-92A2-23EECED4199B" TargetMode="External"/><Relationship Id="rId9" Type="http://schemas.openxmlformats.org/officeDocument/2006/relationships/hyperlink" Target="https://cityoforange.legistar.com/LegislationDetail.aspx?ID=5870&amp;GUID=91752456-D0B8-45E3-92A2-23EECED4199B" TargetMode="External"/><Relationship Id="rId10" Type="http://schemas.openxmlformats.org/officeDocument/2006/relationships/hyperlink" Target="https://cityoforange.legistar.com/LegislationDetail.aspx?ID=5870&amp;GUID=91752456-D0B8-45E3-92A2-23EECED4199B" TargetMode="External"/><Relationship Id="rId11" Type="http://schemas.openxmlformats.org/officeDocument/2006/relationships/hyperlink" Target="https://riversideca.legistar.com/LegislationDetail.aspx?ID=54460&amp;GUID=6AB24B50-A6C6-4BD9-91A5-B8B735F22366" TargetMode="External"/><Relationship Id="rId12" Type="http://schemas.openxmlformats.org/officeDocument/2006/relationships/hyperlink" Target="https://riversideca.legistar.com/LegislationDetail.aspx?ID=54460&amp;GUID=6AB24B50-A6C6-4BD9-91A5-B8B735F22366" TargetMode="External"/><Relationship Id="rId13" Type="http://schemas.openxmlformats.org/officeDocument/2006/relationships/hyperlink" Target="https://riversideca.legistar.com/LegislationDetail.aspx?ID=54460&amp;GUID=6AB24B50-A6C6-4BD9-91A5-B8B735F22366" TargetMode="External"/><Relationship Id="rId14" Type="http://schemas.openxmlformats.org/officeDocument/2006/relationships/hyperlink" Target="https://riversideca.legistar.com/LegislationDetail.aspx?ID=54460&amp;GUID=6AB24B50-A6C6-4BD9-91A5-B8B735F22366" TargetMode="External"/><Relationship Id="rId15" Type="http://schemas.openxmlformats.org/officeDocument/2006/relationships/hyperlink" Target="https://humboldt.legistar.com/LegislationDetail.aspx?ID=31171&amp;GUID=79E5CB71-AC28-4426-9F4C-53022C6638AA" TargetMode="External"/><Relationship Id="rId16" Type="http://schemas.openxmlformats.org/officeDocument/2006/relationships/hyperlink" Target="https://humboldt.legistar.com/LegislationDetail.aspx?ID=31171&amp;GUID=79E5CB71-AC28-4426-9F4C-53022C6638AA" TargetMode="External"/><Relationship Id="rId17" Type="http://schemas.openxmlformats.org/officeDocument/2006/relationships/hyperlink" Target="https://riversideca.legistar.com/LegislationDetail.aspx?ID=54460&amp;GUID=6AB24B50-A6C6-4BD9-91A5-B8B735F22366" TargetMode="External"/><Relationship Id="rId18" Type="http://schemas.openxmlformats.org/officeDocument/2006/relationships/hyperlink" Target="https://napa.legistar.com/LegislationDetail.aspx?ID=14801&amp;GUID=5E4FF7C4-44EA-435E-9C16-E4E1A525237F" TargetMode="External"/><Relationship Id="rId19" Type="http://schemas.openxmlformats.org/officeDocument/2006/relationships/hyperlink" Target="https://napa.legistar.com/LegislationDetail.aspx?ID=14801&amp;GUID=5E4FF7C4-44EA-435E-9C16-E4E1A525237F" TargetMode="External"/><Relationship Id="rId20" Type="http://schemas.openxmlformats.org/officeDocument/2006/relationships/hyperlink" Target="https://humboldt.legistar.com/LegislationDetail.aspx?ID=31037&amp;GUID=2979CDD4-E5DD-4D0C-A476-568A5DB50BFB" TargetMode="External"/><Relationship Id="rId21" Type="http://schemas.openxmlformats.org/officeDocument/2006/relationships/hyperlink" Target="https://humboldt.legistar.com/LegislationDetail.aspx?ID=31037&amp;GUID=2979CDD4-E5DD-4D0C-A476-568A5DB50BFB" TargetMode="External"/><Relationship Id="rId22" Type="http://schemas.openxmlformats.org/officeDocument/2006/relationships/hyperlink" Target="https://cityoforange.legistar.com/LegislationDetail.aspx?ID=5962&amp;GUID=D6B8F1BD-3305-4705-9696-3E351AB1CBED" TargetMode="External"/><Relationship Id="rId23" Type="http://schemas.openxmlformats.org/officeDocument/2006/relationships/hyperlink" Target="https://riversideca.legistar.com/LegislationDetail.aspx?ID=54460&amp;GUID=6AB24B50-A6C6-4BD9-91A5-B8B735F22366" TargetMode="External"/><Relationship Id="rId24" Type="http://schemas.openxmlformats.org/officeDocument/2006/relationships/hyperlink" Target="https://riversideca.legistar.com/LegislationDetail.aspx?ID=54460&amp;GUID=6AB24B50-A6C6-4BD9-91A5-B8B735F22366" TargetMode="External"/><Relationship Id="rId25" Type="http://schemas.openxmlformats.org/officeDocument/2006/relationships/hyperlink" Target="https://fontana.legistar.com/LegislationDetail.aspx?ID=5766&amp;GUID=FC67256B-6A78-4D18-80A3-D460D77F742B" TargetMode="External"/><Relationship Id="rId26" Type="http://schemas.openxmlformats.org/officeDocument/2006/relationships/hyperlink" Target="https://fontana.legistar.com/LegislationDetail.aspx?ID=5766&amp;GUID=FC67256B-6A78-4D18-80A3-D460D77F742B" TargetMode="External"/><Relationship Id="rId27" Type="http://schemas.openxmlformats.org/officeDocument/2006/relationships/hyperlink" Target="https://fontana.legistar.com/LegislationDetail.aspx?ID=5766&amp;GUID=FC67256B-6A78-4D18-80A3-D460D77F742B" TargetMode="External"/><Relationship Id="rId28" Type="http://schemas.openxmlformats.org/officeDocument/2006/relationships/hyperlink" Target="https://fontana.legistar.com/LegislationDetail.aspx?ID=5766&amp;GUID=FC67256B-6A78-4D18-80A3-D460D77F742B" TargetMode="External"/><Relationship Id="rId29" Type="http://schemas.openxmlformats.org/officeDocument/2006/relationships/hyperlink" Target="https://fontana.legistar.com/LegislationDetail.aspx?ID=5766&amp;GUID=FC67256B-6A78-4D18-80A3-D460D77F742B" TargetMode="External"/><Relationship Id="rId30" Type="http://schemas.openxmlformats.org/officeDocument/2006/relationships/hyperlink" Target="https://napa.legistar.com/LegislationDetail.aspx?ID=14801&amp;GUID=5E4FF7C4-44EA-435E-9C16-E4E1A525237F" TargetMode="External"/><Relationship Id="rId31" Type="http://schemas.openxmlformats.org/officeDocument/2006/relationships/hyperlink" Target="https://napa.legistar.com/LegislationDetail.aspx?ID=14801&amp;GUID=5E4FF7C4-44EA-435E-9C16-E4E1A525237F" TargetMode="External"/><Relationship Id="rId32" Type="http://schemas.openxmlformats.org/officeDocument/2006/relationships/hyperlink" Target="https://napa.legistar.com/LegislationDetail.aspx?ID=14801&amp;GUID=5E4FF7C4-44EA-435E-9C16-E4E1A525237F" TargetMode="External"/><Relationship Id="rId33" Type="http://schemas.openxmlformats.org/officeDocument/2006/relationships/hyperlink" Target="https://napa.legistar.com/LegislationDetail.aspx?ID=14801&amp;GUID=5E4FF7C4-44EA-435E-9C16-E4E1A525237F" TargetMode="External"/><Relationship Id="rId34" Type="http://schemas.openxmlformats.org/officeDocument/2006/relationships/hyperlink" Target="https://napa.legistar.com/LegislationDetail.aspx?ID=14801&amp;GUID=5E4FF7C4-44EA-435E-9C16-E4E1A525237F" TargetMode="External"/><Relationship Id="rId35"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18"/>
    <col collapsed="false" customWidth="true" hidden="false" outlineLevel="0" max="4" min="4" style="0" width="46"/>
    <col collapsed="false" customWidth="true" hidden="false" outlineLevel="0" max="5" min="5" style="0" width="18"/>
    <col collapsed="false" customWidth="true" hidden="false" outlineLevel="0" max="6" min="6" style="0" width="11"/>
    <col collapsed="false" customWidth="true" hidden="false" outlineLevel="0" max="8" min="7" style="0" width="13"/>
    <col collapsed="false" customWidth="true" hidden="false" outlineLevel="0" max="9" min="9" style="0" width="26"/>
    <col collapsed="false" customWidth="true" hidden="false" outlineLevel="0" max="10" min="10" style="0" width="10"/>
    <col collapsed="false" customWidth="true" hidden="false" outlineLevel="0" max="11" min="11" style="0" width="32"/>
    <col collapsed="false" customWidth="true" hidden="false" outlineLevel="0" max="12" min="12" style="0" width="34"/>
    <col collapsed="false" customWidth="true" hidden="false" outlineLevel="0" max="13" min="13" style="0" width="15"/>
    <col collapsed="false" customWidth="true" hidden="false" outlineLevel="0" max="14" min="14" style="0" width="13"/>
    <col collapsed="false" customWidth="true" hidden="false" outlineLevel="0" max="15" min="15" style="0" width="50"/>
    <col collapsed="false" customWidth="true" hidden="false" outlineLevel="0" max="16" min="16" style="0" width="14"/>
    <col collapsed="false" customWidth="true" hidden="false" outlineLevel="0" max="17" min="17" style="0" width="12"/>
  </cols>
  <sheetData>
    <row r="1" customFormat="false" ht="23.8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23.85" hidden="false" customHeight="false" outlineLevel="0" collapsed="false">
      <c r="A2" s="2" t="s">
        <v>17</v>
      </c>
      <c r="B2" s="3" t="s">
        <v>18</v>
      </c>
      <c r="C2" s="3" t="s">
        <v>19</v>
      </c>
      <c r="D2" s="4" t="s">
        <v>20</v>
      </c>
      <c r="E2" s="3" t="s">
        <v>21</v>
      </c>
      <c r="F2" s="5" t="n">
        <v>46310</v>
      </c>
      <c r="G2" s="6" t="n">
        <v>606556</v>
      </c>
      <c r="H2" s="6" t="n">
        <v>587975</v>
      </c>
      <c r="I2" s="3" t="s">
        <v>22</v>
      </c>
      <c r="J2" s="7" t="n">
        <f aca="false">IF(OR(G2="",H2=""),"",(G2-H2)/H2)</f>
        <v>0.0316016837450572</v>
      </c>
      <c r="K2" s="3" t="s">
        <v>23</v>
      </c>
      <c r="L2" s="4" t="s">
        <v>24</v>
      </c>
      <c r="M2" s="3"/>
      <c r="N2" s="3" t="s">
        <v>25</v>
      </c>
      <c r="O2" s="4" t="s">
        <v>26</v>
      </c>
      <c r="P2" s="8" t="s">
        <v>27</v>
      </c>
      <c r="Q2" s="9" t="s">
        <v>28</v>
      </c>
    </row>
    <row r="3" customFormat="false" ht="23.85" hidden="false" customHeight="false" outlineLevel="0" collapsed="false">
      <c r="A3" s="2" t="s">
        <v>17</v>
      </c>
      <c r="B3" s="3" t="s">
        <v>29</v>
      </c>
      <c r="C3" s="3" t="s">
        <v>30</v>
      </c>
      <c r="D3" s="4" t="s">
        <v>20</v>
      </c>
      <c r="E3" s="3" t="s">
        <v>21</v>
      </c>
      <c r="F3" s="5" t="n">
        <v>46310</v>
      </c>
      <c r="G3" s="6" t="n">
        <v>616038.18</v>
      </c>
      <c r="H3" s="6" t="n">
        <v>587975</v>
      </c>
      <c r="I3" s="3" t="s">
        <v>22</v>
      </c>
      <c r="J3" s="7" t="n">
        <f aca="false">IF(OR(G3="",H3=""),"",(G3-H3)/H3)</f>
        <v>0.0477285258726988</v>
      </c>
      <c r="K3" s="3"/>
      <c r="L3" s="4" t="s">
        <v>31</v>
      </c>
      <c r="M3" s="3"/>
      <c r="N3" s="3" t="s">
        <v>32</v>
      </c>
      <c r="O3" s="4" t="s">
        <v>33</v>
      </c>
      <c r="P3" s="8" t="s">
        <v>27</v>
      </c>
      <c r="Q3" s="9" t="s">
        <v>28</v>
      </c>
    </row>
    <row r="4" customFormat="false" ht="23.85" hidden="false" customHeight="false" outlineLevel="0" collapsed="false">
      <c r="A4" s="2" t="s">
        <v>17</v>
      </c>
      <c r="B4" s="3" t="s">
        <v>34</v>
      </c>
      <c r="C4" s="3" t="s">
        <v>35</v>
      </c>
      <c r="D4" s="4" t="s">
        <v>20</v>
      </c>
      <c r="E4" s="3" t="s">
        <v>21</v>
      </c>
      <c r="F4" s="5" t="n">
        <v>46310</v>
      </c>
      <c r="G4" s="6" t="n">
        <v>647999</v>
      </c>
      <c r="H4" s="6" t="n">
        <v>587975</v>
      </c>
      <c r="I4" s="3" t="s">
        <v>22</v>
      </c>
      <c r="J4" s="7" t="n">
        <f aca="false">IF(OR(G4="",H4=""),"",(G4-H4)/H4)</f>
        <v>0.102085973043072</v>
      </c>
      <c r="K4" s="3"/>
      <c r="L4" s="4" t="s">
        <v>36</v>
      </c>
      <c r="M4" s="3"/>
      <c r="N4" s="3" t="s">
        <v>37</v>
      </c>
      <c r="O4" s="4" t="s">
        <v>38</v>
      </c>
      <c r="P4" s="8" t="s">
        <v>27</v>
      </c>
      <c r="Q4" s="9" t="s">
        <v>28</v>
      </c>
    </row>
    <row r="5" customFormat="false" ht="23.85" hidden="false" customHeight="false" outlineLevel="0" collapsed="false">
      <c r="A5" s="2" t="s">
        <v>17</v>
      </c>
      <c r="B5" s="3" t="s">
        <v>39</v>
      </c>
      <c r="C5" s="3" t="s">
        <v>40</v>
      </c>
      <c r="D5" s="4" t="s">
        <v>20</v>
      </c>
      <c r="E5" s="3" t="s">
        <v>21</v>
      </c>
      <c r="F5" s="5" t="n">
        <v>46310</v>
      </c>
      <c r="G5" s="6" t="n">
        <v>653360</v>
      </c>
      <c r="H5" s="6" t="n">
        <v>587975</v>
      </c>
      <c r="I5" s="3" t="s">
        <v>22</v>
      </c>
      <c r="J5" s="7" t="n">
        <f aca="false">IF(OR(G5="",H5=""),"",(G5-H5)/H5)</f>
        <v>0.111203707640631</v>
      </c>
      <c r="K5" s="3"/>
      <c r="L5" s="4" t="s">
        <v>41</v>
      </c>
      <c r="M5" s="3" t="s">
        <v>42</v>
      </c>
      <c r="N5" s="3" t="s">
        <v>43</v>
      </c>
      <c r="O5" s="4" t="s">
        <v>44</v>
      </c>
      <c r="P5" s="8" t="s">
        <v>27</v>
      </c>
      <c r="Q5" s="9" t="s">
        <v>28</v>
      </c>
    </row>
    <row r="6" customFormat="false" ht="23.85" hidden="false" customHeight="false" outlineLevel="0" collapsed="false">
      <c r="A6" s="2" t="s">
        <v>17</v>
      </c>
      <c r="B6" s="3" t="s">
        <v>29</v>
      </c>
      <c r="C6" s="3" t="s">
        <v>30</v>
      </c>
      <c r="D6" s="4" t="s">
        <v>45</v>
      </c>
      <c r="E6" s="3" t="s">
        <v>21</v>
      </c>
      <c r="F6" s="5" t="n">
        <v>46268</v>
      </c>
      <c r="G6" s="6" t="n">
        <v>542339.79</v>
      </c>
      <c r="H6" s="6"/>
      <c r="I6" s="3" t="s">
        <v>46</v>
      </c>
      <c r="J6" s="7" t="str">
        <f aca="false">IF(OR(G6="",H6=""),"",(G6-H6)/H6)</f>
        <v/>
      </c>
      <c r="K6" s="3"/>
      <c r="L6" s="4" t="s">
        <v>31</v>
      </c>
      <c r="M6" s="3"/>
      <c r="N6" s="3" t="s">
        <v>32</v>
      </c>
      <c r="O6" s="4" t="s">
        <v>47</v>
      </c>
      <c r="P6" s="8" t="s">
        <v>27</v>
      </c>
      <c r="Q6" s="9" t="s">
        <v>28</v>
      </c>
    </row>
    <row r="7" customFormat="false" ht="23.85" hidden="false" customHeight="false" outlineLevel="0" collapsed="false">
      <c r="A7" s="2" t="s">
        <v>17</v>
      </c>
      <c r="B7" s="3" t="s">
        <v>18</v>
      </c>
      <c r="C7" s="3" t="s">
        <v>19</v>
      </c>
      <c r="D7" s="4" t="s">
        <v>45</v>
      </c>
      <c r="E7" s="3" t="s">
        <v>21</v>
      </c>
      <c r="F7" s="5" t="n">
        <v>46268</v>
      </c>
      <c r="G7" s="6" t="n">
        <v>559585</v>
      </c>
      <c r="H7" s="6"/>
      <c r="I7" s="3" t="s">
        <v>46</v>
      </c>
      <c r="J7" s="7" t="str">
        <f aca="false">IF(OR(G7="",H7=""),"",(G7-H7)/H7)</f>
        <v/>
      </c>
      <c r="K7" s="3" t="s">
        <v>23</v>
      </c>
      <c r="L7" s="4" t="s">
        <v>24</v>
      </c>
      <c r="M7" s="3"/>
      <c r="N7" s="3" t="s">
        <v>25</v>
      </c>
      <c r="O7" s="4" t="s">
        <v>48</v>
      </c>
      <c r="P7" s="8" t="s">
        <v>27</v>
      </c>
      <c r="Q7" s="9" t="s">
        <v>28</v>
      </c>
    </row>
    <row r="8" customFormat="false" ht="23.85" hidden="false" customHeight="false" outlineLevel="0" collapsed="false">
      <c r="A8" s="2" t="s">
        <v>17</v>
      </c>
      <c r="B8" s="3" t="s">
        <v>39</v>
      </c>
      <c r="C8" s="3" t="s">
        <v>40</v>
      </c>
      <c r="D8" s="4" t="s">
        <v>45</v>
      </c>
      <c r="E8" s="3" t="s">
        <v>21</v>
      </c>
      <c r="F8" s="5" t="n">
        <v>46268</v>
      </c>
      <c r="G8" s="6" t="n">
        <v>603536</v>
      </c>
      <c r="H8" s="6"/>
      <c r="I8" s="3" t="s">
        <v>46</v>
      </c>
      <c r="J8" s="7" t="str">
        <f aca="false">IF(OR(G8="",H8=""),"",(G8-H8)/H8)</f>
        <v/>
      </c>
      <c r="K8" s="3"/>
      <c r="L8" s="4" t="s">
        <v>41</v>
      </c>
      <c r="M8" s="3" t="s">
        <v>42</v>
      </c>
      <c r="N8" s="3" t="s">
        <v>43</v>
      </c>
      <c r="O8" s="4" t="s">
        <v>48</v>
      </c>
      <c r="P8" s="8" t="s">
        <v>27</v>
      </c>
      <c r="Q8" s="9" t="s">
        <v>28</v>
      </c>
    </row>
    <row r="9" customFormat="false" ht="23.85" hidden="false" customHeight="false" outlineLevel="0" collapsed="false">
      <c r="A9" s="2" t="s">
        <v>17</v>
      </c>
      <c r="B9" s="3" t="s">
        <v>49</v>
      </c>
      <c r="C9" s="3" t="s">
        <v>50</v>
      </c>
      <c r="D9" s="4" t="s">
        <v>45</v>
      </c>
      <c r="E9" s="3" t="s">
        <v>21</v>
      </c>
      <c r="F9" s="5" t="n">
        <v>46268</v>
      </c>
      <c r="G9" s="6" t="n">
        <v>606456</v>
      </c>
      <c r="H9" s="6"/>
      <c r="I9" s="3" t="s">
        <v>46</v>
      </c>
      <c r="J9" s="7" t="str">
        <f aca="false">IF(OR(G9="",H9=""),"",(G9-H9)/H9)</f>
        <v/>
      </c>
      <c r="K9" s="3" t="s">
        <v>51</v>
      </c>
      <c r="L9" s="4" t="s">
        <v>52</v>
      </c>
      <c r="M9" s="3"/>
      <c r="N9" s="3" t="s">
        <v>25</v>
      </c>
      <c r="O9" s="4" t="s">
        <v>47</v>
      </c>
      <c r="P9" s="8" t="s">
        <v>27</v>
      </c>
      <c r="Q9" s="9" t="s">
        <v>28</v>
      </c>
    </row>
    <row r="10" customFormat="false" ht="23.85" hidden="false" customHeight="false" outlineLevel="0" collapsed="false">
      <c r="A10" s="2" t="s">
        <v>17</v>
      </c>
      <c r="B10" s="3" t="s">
        <v>34</v>
      </c>
      <c r="C10" s="3" t="s">
        <v>35</v>
      </c>
      <c r="D10" s="4" t="s">
        <v>45</v>
      </c>
      <c r="E10" s="3" t="s">
        <v>21</v>
      </c>
      <c r="F10" s="5" t="n">
        <v>46268</v>
      </c>
      <c r="G10" s="6" t="n">
        <v>610973</v>
      </c>
      <c r="H10" s="6"/>
      <c r="I10" s="3" t="s">
        <v>46</v>
      </c>
      <c r="J10" s="7" t="str">
        <f aca="false">IF(OR(G10="",H10=""),"",(G10-H10)/H10)</f>
        <v/>
      </c>
      <c r="K10" s="3"/>
      <c r="L10" s="4" t="s">
        <v>36</v>
      </c>
      <c r="M10" s="3"/>
      <c r="N10" s="3" t="s">
        <v>37</v>
      </c>
      <c r="O10" s="4" t="s">
        <v>47</v>
      </c>
      <c r="P10" s="8" t="s">
        <v>27</v>
      </c>
      <c r="Q10" s="9" t="s">
        <v>28</v>
      </c>
    </row>
    <row r="11" customFormat="false" ht="23.85" hidden="false" customHeight="false" outlineLevel="0" collapsed="false">
      <c r="A11" s="2" t="s">
        <v>17</v>
      </c>
      <c r="B11" s="3" t="s">
        <v>53</v>
      </c>
      <c r="C11" s="3" t="s">
        <v>54</v>
      </c>
      <c r="D11" s="4" t="s">
        <v>45</v>
      </c>
      <c r="E11" s="3" t="s">
        <v>21</v>
      </c>
      <c r="F11" s="5" t="n">
        <v>46268</v>
      </c>
      <c r="G11" s="6" t="n">
        <v>690019</v>
      </c>
      <c r="H11" s="6"/>
      <c r="I11" s="3" t="s">
        <v>46</v>
      </c>
      <c r="J11" s="7" t="str">
        <f aca="false">IF(OR(G11="",H11=""),"",(G11-H11)/H11)</f>
        <v/>
      </c>
      <c r="K11" s="3"/>
      <c r="L11" s="4" t="s">
        <v>41</v>
      </c>
      <c r="M11" s="3" t="s">
        <v>55</v>
      </c>
      <c r="N11" s="3" t="s">
        <v>43</v>
      </c>
      <c r="O11" s="4" t="s">
        <v>56</v>
      </c>
      <c r="P11" s="8" t="s">
        <v>27</v>
      </c>
      <c r="Q11" s="9" t="s">
        <v>28</v>
      </c>
    </row>
    <row r="12" customFormat="false" ht="23.85" hidden="false" customHeight="false" outlineLevel="0" collapsed="false">
      <c r="A12" s="2" t="s">
        <v>17</v>
      </c>
      <c r="B12" s="3" t="s">
        <v>57</v>
      </c>
      <c r="C12" s="3" t="s">
        <v>58</v>
      </c>
      <c r="D12" s="4" t="s">
        <v>59</v>
      </c>
      <c r="E12" s="3" t="s">
        <v>60</v>
      </c>
      <c r="F12" s="5" t="n">
        <v>46246</v>
      </c>
      <c r="G12" s="6" t="n">
        <v>2301500</v>
      </c>
      <c r="H12" s="6" t="n">
        <v>2135800</v>
      </c>
      <c r="I12" s="3" t="s">
        <v>61</v>
      </c>
      <c r="J12" s="7" t="n">
        <f aca="false">IF(OR(G12="",H12=""),"",(G12-H12)/H12)</f>
        <v>0.0775821706152261</v>
      </c>
      <c r="K12" s="3" t="s">
        <v>62</v>
      </c>
      <c r="L12" s="4" t="s">
        <v>63</v>
      </c>
      <c r="M12" s="3" t="s">
        <v>64</v>
      </c>
      <c r="N12" s="3" t="s">
        <v>65</v>
      </c>
      <c r="O12" s="4" t="s">
        <v>66</v>
      </c>
      <c r="P12" s="8" t="s">
        <v>27</v>
      </c>
      <c r="Q12" s="9" t="s">
        <v>28</v>
      </c>
    </row>
    <row r="13" customFormat="false" ht="23.85" hidden="false" customHeight="false" outlineLevel="0" collapsed="false">
      <c r="A13" s="2" t="s">
        <v>17</v>
      </c>
      <c r="B13" s="3" t="s">
        <v>39</v>
      </c>
      <c r="C13" s="3" t="s">
        <v>40</v>
      </c>
      <c r="D13" s="4" t="s">
        <v>59</v>
      </c>
      <c r="E13" s="3" t="s">
        <v>60</v>
      </c>
      <c r="F13" s="5" t="n">
        <v>46246</v>
      </c>
      <c r="G13" s="6" t="n">
        <v>2313488</v>
      </c>
      <c r="H13" s="6" t="n">
        <v>2135800</v>
      </c>
      <c r="I13" s="3" t="s">
        <v>61</v>
      </c>
      <c r="J13" s="7" t="n">
        <f aca="false">IF(OR(G13="",H13=""),"",(G13-H13)/H13)</f>
        <v>0.0831950557168274</v>
      </c>
      <c r="K13" s="3"/>
      <c r="L13" s="4" t="s">
        <v>41</v>
      </c>
      <c r="M13" s="3" t="s">
        <v>42</v>
      </c>
      <c r="N13" s="3" t="s">
        <v>43</v>
      </c>
      <c r="O13" s="4" t="s">
        <v>67</v>
      </c>
      <c r="P13" s="8" t="s">
        <v>27</v>
      </c>
      <c r="Q13" s="9" t="s">
        <v>28</v>
      </c>
    </row>
    <row r="14" customFormat="false" ht="23.85" hidden="false" customHeight="false" outlineLevel="0" collapsed="false">
      <c r="A14" s="2" t="s">
        <v>17</v>
      </c>
      <c r="B14" s="3" t="s">
        <v>18</v>
      </c>
      <c r="C14" s="3" t="s">
        <v>19</v>
      </c>
      <c r="D14" s="4" t="s">
        <v>59</v>
      </c>
      <c r="E14" s="3" t="s">
        <v>60</v>
      </c>
      <c r="F14" s="5" t="n">
        <v>46246</v>
      </c>
      <c r="G14" s="6" t="n">
        <v>2366553</v>
      </c>
      <c r="H14" s="6" t="n">
        <v>2135800</v>
      </c>
      <c r="I14" s="3" t="s">
        <v>61</v>
      </c>
      <c r="J14" s="7" t="n">
        <f aca="false">IF(OR(G14="",H14=""),"",(G14-H14)/H14)</f>
        <v>0.108040546867684</v>
      </c>
      <c r="K14" s="3" t="s">
        <v>23</v>
      </c>
      <c r="L14" s="4" t="s">
        <v>24</v>
      </c>
      <c r="M14" s="3"/>
      <c r="N14" s="3" t="s">
        <v>25</v>
      </c>
      <c r="O14" s="4" t="s">
        <v>68</v>
      </c>
      <c r="P14" s="8" t="s">
        <v>27</v>
      </c>
      <c r="Q14" s="9" t="s">
        <v>28</v>
      </c>
    </row>
    <row r="15" customFormat="false" ht="23.85" hidden="false" customHeight="false" outlineLevel="0" collapsed="false">
      <c r="A15" s="2" t="s">
        <v>17</v>
      </c>
      <c r="B15" s="3" t="s">
        <v>49</v>
      </c>
      <c r="C15" s="3" t="s">
        <v>50</v>
      </c>
      <c r="D15" s="4" t="s">
        <v>59</v>
      </c>
      <c r="E15" s="3" t="s">
        <v>60</v>
      </c>
      <c r="F15" s="5" t="n">
        <v>46246</v>
      </c>
      <c r="G15" s="6" t="n">
        <v>2949540</v>
      </c>
      <c r="H15" s="6" t="n">
        <v>2135800</v>
      </c>
      <c r="I15" s="3" t="s">
        <v>61</v>
      </c>
      <c r="J15" s="7" t="n">
        <f aca="false">IF(OR(G15="",H15=""),"",(G15-H15)/H15)</f>
        <v>0.381000093641727</v>
      </c>
      <c r="K15" s="3" t="s">
        <v>51</v>
      </c>
      <c r="L15" s="4" t="s">
        <v>52</v>
      </c>
      <c r="M15" s="3"/>
      <c r="N15" s="3" t="s">
        <v>25</v>
      </c>
      <c r="O15" s="4" t="s">
        <v>69</v>
      </c>
      <c r="P15" s="8" t="s">
        <v>27</v>
      </c>
      <c r="Q15" s="9" t="s">
        <v>28</v>
      </c>
    </row>
    <row r="16" customFormat="false" ht="23.85" hidden="false" customHeight="false" outlineLevel="0" collapsed="false">
      <c r="A16" s="2" t="s">
        <v>17</v>
      </c>
      <c r="B16" s="3" t="s">
        <v>70</v>
      </c>
      <c r="C16" s="3" t="s">
        <v>71</v>
      </c>
      <c r="D16" s="4" t="s">
        <v>72</v>
      </c>
      <c r="E16" s="3" t="s">
        <v>73</v>
      </c>
      <c r="F16" s="5" t="n">
        <v>46219</v>
      </c>
      <c r="G16" s="6" t="n">
        <v>481600</v>
      </c>
      <c r="H16" s="6" t="n">
        <v>459633</v>
      </c>
      <c r="I16" s="3" t="s">
        <v>74</v>
      </c>
      <c r="J16" s="7" t="n">
        <f aca="false">IF(OR(G16="",H16=""),"",(G16-H16)/H16)</f>
        <v>0.0477924779117252</v>
      </c>
      <c r="K16" s="3"/>
      <c r="L16" s="4" t="s">
        <v>75</v>
      </c>
      <c r="M16" s="3"/>
      <c r="N16" s="3"/>
      <c r="O16" s="4" t="s">
        <v>76</v>
      </c>
      <c r="P16" s="8" t="s">
        <v>27</v>
      </c>
      <c r="Q16" s="9" t="s">
        <v>28</v>
      </c>
    </row>
    <row r="17" customFormat="false" ht="23.85" hidden="false" customHeight="false" outlineLevel="0" collapsed="false">
      <c r="A17" s="2" t="s">
        <v>17</v>
      </c>
      <c r="B17" s="3" t="s">
        <v>77</v>
      </c>
      <c r="C17" s="3" t="s">
        <v>78</v>
      </c>
      <c r="D17" s="4" t="s">
        <v>72</v>
      </c>
      <c r="E17" s="3" t="s">
        <v>73</v>
      </c>
      <c r="F17" s="5" t="n">
        <v>46219</v>
      </c>
      <c r="G17" s="6" t="n">
        <v>501296.7</v>
      </c>
      <c r="H17" s="6" t="n">
        <v>459633</v>
      </c>
      <c r="I17" s="3" t="s">
        <v>74</v>
      </c>
      <c r="J17" s="7" t="n">
        <f aca="false">IF(OR(G17="",H17=""),"",(G17-H17)/H17)</f>
        <v>0.0906455802781785</v>
      </c>
      <c r="K17" s="3" t="s">
        <v>79</v>
      </c>
      <c r="L17" s="4" t="s">
        <v>80</v>
      </c>
      <c r="M17" s="3"/>
      <c r="N17" s="3" t="s">
        <v>65</v>
      </c>
      <c r="O17" s="4" t="s">
        <v>81</v>
      </c>
      <c r="P17" s="8" t="s">
        <v>27</v>
      </c>
      <c r="Q17" s="9" t="s">
        <v>28</v>
      </c>
    </row>
    <row r="18" customFormat="false" ht="23.85" hidden="false" customHeight="false" outlineLevel="0" collapsed="false">
      <c r="A18" s="10" t="s">
        <v>65</v>
      </c>
      <c r="B18" s="3" t="s">
        <v>82</v>
      </c>
      <c r="C18" s="3" t="s">
        <v>83</v>
      </c>
      <c r="D18" s="4" t="s">
        <v>59</v>
      </c>
      <c r="E18" s="3" t="s">
        <v>60</v>
      </c>
      <c r="F18" s="5" t="n">
        <v>46246</v>
      </c>
      <c r="G18" s="6" t="n">
        <v>2822397</v>
      </c>
      <c r="H18" s="6" t="n">
        <v>2135800</v>
      </c>
      <c r="I18" s="3" t="s">
        <v>61</v>
      </c>
      <c r="J18" s="7" t="n">
        <f aca="false">IF(OR(G18="",H18=""),"",(G18-H18)/H18)</f>
        <v>0.321470643318663</v>
      </c>
      <c r="K18" s="3"/>
      <c r="L18" s="4" t="s">
        <v>75</v>
      </c>
      <c r="M18" s="3"/>
      <c r="N18" s="3"/>
      <c r="O18" s="4" t="s">
        <v>84</v>
      </c>
      <c r="P18" s="8" t="s">
        <v>27</v>
      </c>
      <c r="Q18" s="9" t="s">
        <v>28</v>
      </c>
    </row>
    <row r="19" customFormat="false" ht="23.85" hidden="false" customHeight="false" outlineLevel="0" collapsed="false">
      <c r="A19" s="10" t="s">
        <v>65</v>
      </c>
      <c r="B19" s="3" t="s">
        <v>85</v>
      </c>
      <c r="C19" s="3" t="s">
        <v>86</v>
      </c>
      <c r="D19" s="4" t="s">
        <v>87</v>
      </c>
      <c r="E19" s="3" t="s">
        <v>88</v>
      </c>
      <c r="F19" s="5" t="n">
        <v>46212</v>
      </c>
      <c r="G19" s="6" t="n">
        <v>605179</v>
      </c>
      <c r="H19" s="6" t="n">
        <v>676229</v>
      </c>
      <c r="I19" s="3" t="s">
        <v>89</v>
      </c>
      <c r="J19" s="7" t="n">
        <f aca="false">IF(OR(G19="",H19=""),"",(G19-H19)/H19)</f>
        <v>-0.105067957748041</v>
      </c>
      <c r="K19" s="3" t="s">
        <v>90</v>
      </c>
      <c r="L19" s="4" t="s">
        <v>91</v>
      </c>
      <c r="M19" s="3"/>
      <c r="N19" s="3" t="s">
        <v>92</v>
      </c>
      <c r="O19" s="4" t="s">
        <v>93</v>
      </c>
      <c r="P19" s="8" t="s">
        <v>27</v>
      </c>
      <c r="Q19" s="9" t="s">
        <v>28</v>
      </c>
    </row>
    <row r="20" customFormat="false" ht="23.85" hidden="false" customHeight="false" outlineLevel="0" collapsed="false">
      <c r="A20" s="10" t="s">
        <v>65</v>
      </c>
      <c r="B20" s="3" t="s">
        <v>94</v>
      </c>
      <c r="C20" s="3" t="s">
        <v>86</v>
      </c>
      <c r="D20" s="4" t="s">
        <v>87</v>
      </c>
      <c r="E20" s="3" t="s">
        <v>88</v>
      </c>
      <c r="F20" s="5" t="n">
        <v>46212</v>
      </c>
      <c r="G20" s="6" t="n">
        <v>706421</v>
      </c>
      <c r="H20" s="6" t="n">
        <v>676229</v>
      </c>
      <c r="I20" s="3" t="s">
        <v>89</v>
      </c>
      <c r="J20" s="7" t="n">
        <f aca="false">IF(OR(G20="",H20=""),"",(G20-H20)/H20)</f>
        <v>0.0446475971897094</v>
      </c>
      <c r="K20" s="3" t="s">
        <v>95</v>
      </c>
      <c r="L20" s="4" t="s">
        <v>96</v>
      </c>
      <c r="M20" s="3"/>
      <c r="N20" s="3" t="s">
        <v>65</v>
      </c>
      <c r="O20" s="4" t="s">
        <v>97</v>
      </c>
      <c r="P20" s="8" t="s">
        <v>27</v>
      </c>
      <c r="Q20" s="9" t="s">
        <v>28</v>
      </c>
    </row>
    <row r="21" customFormat="false" ht="23.85" hidden="false" customHeight="false" outlineLevel="0" collapsed="false">
      <c r="A21" s="10" t="s">
        <v>65</v>
      </c>
      <c r="B21" s="3" t="s">
        <v>98</v>
      </c>
      <c r="C21" s="3" t="s">
        <v>99</v>
      </c>
      <c r="D21" s="4" t="s">
        <v>100</v>
      </c>
      <c r="E21" s="3" t="s">
        <v>73</v>
      </c>
      <c r="F21" s="5" t="n">
        <v>46182</v>
      </c>
      <c r="G21" s="6" t="n">
        <v>979230</v>
      </c>
      <c r="H21" s="6" t="n">
        <v>792549.1</v>
      </c>
      <c r="I21" s="3" t="s">
        <v>77</v>
      </c>
      <c r="J21" s="7" t="n">
        <f aca="false">IF(OR(G21="",H21=""),"",(G21-H21)/H21)</f>
        <v>0.235544901886836</v>
      </c>
      <c r="K21" s="3"/>
      <c r="L21" s="4" t="s">
        <v>75</v>
      </c>
      <c r="M21" s="3"/>
      <c r="N21" s="3"/>
      <c r="O21" s="4" t="s">
        <v>101</v>
      </c>
      <c r="P21" s="8" t="s">
        <v>27</v>
      </c>
      <c r="Q21" s="9" t="s">
        <v>28</v>
      </c>
    </row>
    <row r="22" customFormat="false" ht="23.85" hidden="false" customHeight="false" outlineLevel="0" collapsed="false">
      <c r="A22" s="10" t="s">
        <v>65</v>
      </c>
      <c r="B22" s="3" t="s">
        <v>102</v>
      </c>
      <c r="C22" s="3" t="s">
        <v>103</v>
      </c>
      <c r="D22" s="4" t="s">
        <v>100</v>
      </c>
      <c r="E22" s="3" t="s">
        <v>73</v>
      </c>
      <c r="F22" s="5" t="n">
        <v>46182</v>
      </c>
      <c r="G22" s="6" t="n">
        <v>1004930</v>
      </c>
      <c r="H22" s="6" t="n">
        <v>792549.1</v>
      </c>
      <c r="I22" s="3" t="s">
        <v>77</v>
      </c>
      <c r="J22" s="7" t="n">
        <f aca="false">IF(OR(G22="",H22=""),"",(G22-H22)/H22)</f>
        <v>0.267971914926154</v>
      </c>
      <c r="K22" s="3"/>
      <c r="L22" s="4" t="s">
        <v>75</v>
      </c>
      <c r="M22" s="3"/>
      <c r="N22" s="3"/>
      <c r="O22" s="4" t="s">
        <v>104</v>
      </c>
      <c r="P22" s="8" t="s">
        <v>27</v>
      </c>
      <c r="Q22" s="9" t="s">
        <v>28</v>
      </c>
    </row>
    <row r="23" customFormat="false" ht="23.85" hidden="false" customHeight="false" outlineLevel="0" collapsed="false">
      <c r="A23" s="11" t="s">
        <v>105</v>
      </c>
      <c r="B23" s="3" t="s">
        <v>106</v>
      </c>
      <c r="C23" s="3" t="s">
        <v>107</v>
      </c>
      <c r="D23" s="4" t="s">
        <v>20</v>
      </c>
      <c r="E23" s="3" t="s">
        <v>21</v>
      </c>
      <c r="F23" s="5" t="n">
        <v>46310</v>
      </c>
      <c r="G23" s="6" t="n">
        <v>638838</v>
      </c>
      <c r="H23" s="6" t="n">
        <v>587975</v>
      </c>
      <c r="I23" s="3" t="s">
        <v>22</v>
      </c>
      <c r="J23" s="7" t="n">
        <f aca="false">IF(OR(G23="",H23=""),"",(G23-H23)/H23)</f>
        <v>0.0865053786300438</v>
      </c>
      <c r="K23" s="3" t="s">
        <v>108</v>
      </c>
      <c r="L23" s="4" t="s">
        <v>109</v>
      </c>
      <c r="M23" s="3"/>
      <c r="N23" s="3" t="s">
        <v>92</v>
      </c>
      <c r="O23" s="4" t="s">
        <v>110</v>
      </c>
      <c r="P23" s="8" t="s">
        <v>27</v>
      </c>
      <c r="Q23" s="9" t="s">
        <v>28</v>
      </c>
    </row>
    <row r="24" customFormat="false" ht="23.85" hidden="false" customHeight="false" outlineLevel="0" collapsed="false">
      <c r="A24" s="11" t="s">
        <v>105</v>
      </c>
      <c r="B24" s="3" t="s">
        <v>111</v>
      </c>
      <c r="C24" s="3" t="s">
        <v>54</v>
      </c>
      <c r="D24" s="4" t="s">
        <v>59</v>
      </c>
      <c r="E24" s="3" t="s">
        <v>60</v>
      </c>
      <c r="F24" s="5" t="n">
        <v>46246</v>
      </c>
      <c r="G24" s="6" t="n">
        <v>2213070</v>
      </c>
      <c r="H24" s="6" t="n">
        <v>2135800</v>
      </c>
      <c r="I24" s="3" t="s">
        <v>61</v>
      </c>
      <c r="J24" s="7" t="n">
        <f aca="false">IF(OR(G24="",H24=""),"",(G24-H24)/H24)</f>
        <v>0.0361784811311921</v>
      </c>
      <c r="K24" s="3"/>
      <c r="L24" s="4" t="s">
        <v>75</v>
      </c>
      <c r="M24" s="3"/>
      <c r="N24" s="3"/>
      <c r="O24" s="4" t="s">
        <v>112</v>
      </c>
      <c r="P24" s="8" t="s">
        <v>27</v>
      </c>
      <c r="Q24" s="9" t="s">
        <v>28</v>
      </c>
    </row>
    <row r="25" customFormat="false" ht="23.85" hidden="false" customHeight="false" outlineLevel="0" collapsed="false">
      <c r="A25" s="11" t="s">
        <v>105</v>
      </c>
      <c r="B25" s="3" t="s">
        <v>113</v>
      </c>
      <c r="C25" s="3" t="s">
        <v>19</v>
      </c>
      <c r="D25" s="4" t="s">
        <v>59</v>
      </c>
      <c r="E25" s="3" t="s">
        <v>60</v>
      </c>
      <c r="F25" s="5" t="n">
        <v>46246</v>
      </c>
      <c r="G25" s="6" t="n">
        <v>2303298.68</v>
      </c>
      <c r="H25" s="6" t="n">
        <v>2135800</v>
      </c>
      <c r="I25" s="3" t="s">
        <v>61</v>
      </c>
      <c r="J25" s="7" t="n">
        <f aca="false">IF(OR(G25="",H25=""),"",(G25-H25)/H25)</f>
        <v>0.0784243281206106</v>
      </c>
      <c r="K25" s="3"/>
      <c r="L25" s="4" t="s">
        <v>75</v>
      </c>
      <c r="M25" s="3"/>
      <c r="N25" s="3"/>
      <c r="O25" s="4" t="s">
        <v>114</v>
      </c>
      <c r="P25" s="8" t="s">
        <v>27</v>
      </c>
      <c r="Q25" s="9" t="s">
        <v>28</v>
      </c>
    </row>
    <row r="26" customFormat="false" ht="23.85" hidden="false" customHeight="false" outlineLevel="0" collapsed="false">
      <c r="A26" s="11" t="s">
        <v>105</v>
      </c>
      <c r="B26" s="3" t="s">
        <v>115</v>
      </c>
      <c r="C26" s="3" t="s">
        <v>86</v>
      </c>
      <c r="D26" s="4" t="s">
        <v>116</v>
      </c>
      <c r="E26" s="3" t="s">
        <v>117</v>
      </c>
      <c r="F26" s="5" t="n">
        <v>46216</v>
      </c>
      <c r="G26" s="6" t="n">
        <v>12435174.5</v>
      </c>
      <c r="H26" s="6" t="n">
        <v>11000774</v>
      </c>
      <c r="I26" s="3" t="s">
        <v>118</v>
      </c>
      <c r="J26" s="7" t="n">
        <f aca="false">IF(OR(G26="",H26=""),"",(G26-H26)/H26)</f>
        <v>0.130390870678736</v>
      </c>
      <c r="K26" s="3" t="s">
        <v>119</v>
      </c>
      <c r="L26" s="4" t="s">
        <v>120</v>
      </c>
      <c r="M26" s="3"/>
      <c r="N26" s="3" t="s">
        <v>65</v>
      </c>
      <c r="O26" s="4" t="s">
        <v>121</v>
      </c>
      <c r="P26" s="8" t="s">
        <v>27</v>
      </c>
      <c r="Q26" s="9" t="s">
        <v>28</v>
      </c>
    </row>
    <row r="27" customFormat="false" ht="23.85" hidden="false" customHeight="false" outlineLevel="0" collapsed="false">
      <c r="A27" s="11" t="s">
        <v>105</v>
      </c>
      <c r="B27" s="3" t="s">
        <v>122</v>
      </c>
      <c r="C27" s="3" t="s">
        <v>54</v>
      </c>
      <c r="D27" s="4" t="s">
        <v>116</v>
      </c>
      <c r="E27" s="3" t="s">
        <v>117</v>
      </c>
      <c r="F27" s="5" t="n">
        <v>46216</v>
      </c>
      <c r="G27" s="6" t="n">
        <v>13866114.9</v>
      </c>
      <c r="H27" s="6" t="n">
        <v>11000774</v>
      </c>
      <c r="I27" s="3" t="s">
        <v>118</v>
      </c>
      <c r="J27" s="7" t="n">
        <f aca="false">IF(OR(G27="",H27=""),"",(G27-H27)/H27)</f>
        <v>0.260467208943662</v>
      </c>
      <c r="K27" s="3"/>
      <c r="L27" s="4" t="s">
        <v>75</v>
      </c>
      <c r="M27" s="3"/>
      <c r="N27" s="3"/>
      <c r="O27" s="4" t="s">
        <v>123</v>
      </c>
      <c r="P27" s="8" t="s">
        <v>27</v>
      </c>
      <c r="Q27" s="9" t="s">
        <v>28</v>
      </c>
    </row>
    <row r="28" customFormat="false" ht="23.85" hidden="false" customHeight="false" outlineLevel="0" collapsed="false">
      <c r="A28" s="11" t="s">
        <v>105</v>
      </c>
      <c r="B28" s="3" t="s">
        <v>124</v>
      </c>
      <c r="C28" s="3" t="s">
        <v>86</v>
      </c>
      <c r="D28" s="4" t="s">
        <v>116</v>
      </c>
      <c r="E28" s="3" t="s">
        <v>117</v>
      </c>
      <c r="F28" s="5" t="n">
        <v>46216</v>
      </c>
      <c r="G28" s="6" t="n">
        <v>13885158.5</v>
      </c>
      <c r="H28" s="6" t="n">
        <v>11000774</v>
      </c>
      <c r="I28" s="3" t="s">
        <v>118</v>
      </c>
      <c r="J28" s="7" t="n">
        <f aca="false">IF(OR(G28="",H28=""),"",(G28-H28)/H28)</f>
        <v>0.262198323499783</v>
      </c>
      <c r="K28" s="3" t="s">
        <v>125</v>
      </c>
      <c r="L28" s="4" t="s">
        <v>96</v>
      </c>
      <c r="M28" s="3"/>
      <c r="N28" s="3" t="s">
        <v>25</v>
      </c>
      <c r="O28" s="4" t="s">
        <v>126</v>
      </c>
      <c r="P28" s="8" t="s">
        <v>27</v>
      </c>
      <c r="Q28" s="9" t="s">
        <v>28</v>
      </c>
    </row>
    <row r="29" customFormat="false" ht="23.85" hidden="false" customHeight="false" outlineLevel="0" collapsed="false">
      <c r="A29" s="11" t="s">
        <v>105</v>
      </c>
      <c r="B29" s="3" t="s">
        <v>127</v>
      </c>
      <c r="C29" s="3" t="s">
        <v>86</v>
      </c>
      <c r="D29" s="4" t="s">
        <v>116</v>
      </c>
      <c r="E29" s="3" t="s">
        <v>117</v>
      </c>
      <c r="F29" s="5" t="n">
        <v>46216</v>
      </c>
      <c r="G29" s="6" t="n">
        <v>14878780</v>
      </c>
      <c r="H29" s="6" t="n">
        <v>11000774</v>
      </c>
      <c r="I29" s="3" t="s">
        <v>118</v>
      </c>
      <c r="J29" s="7" t="n">
        <f aca="false">IF(OR(G29="",H29=""),"",(G29-H29)/H29)</f>
        <v>0.352521195326802</v>
      </c>
      <c r="K29" s="3"/>
      <c r="L29" s="4" t="s">
        <v>75</v>
      </c>
      <c r="M29" s="3"/>
      <c r="N29" s="3"/>
      <c r="O29" s="4" t="s">
        <v>128</v>
      </c>
      <c r="P29" s="8" t="s">
        <v>27</v>
      </c>
      <c r="Q29" s="9" t="s">
        <v>28</v>
      </c>
    </row>
    <row r="30" customFormat="false" ht="23.85" hidden="false" customHeight="false" outlineLevel="0" collapsed="false">
      <c r="A30" s="11" t="s">
        <v>105</v>
      </c>
      <c r="B30" s="3" t="s">
        <v>129</v>
      </c>
      <c r="C30" s="3" t="s">
        <v>86</v>
      </c>
      <c r="D30" s="4" t="s">
        <v>116</v>
      </c>
      <c r="E30" s="3" t="s">
        <v>117</v>
      </c>
      <c r="F30" s="5" t="n">
        <v>46216</v>
      </c>
      <c r="G30" s="6" t="n">
        <v>15201991.65</v>
      </c>
      <c r="H30" s="6" t="n">
        <v>11000774</v>
      </c>
      <c r="I30" s="3" t="s">
        <v>118</v>
      </c>
      <c r="J30" s="7" t="n">
        <f aca="false">IF(OR(G30="",H30=""),"",(G30-H30)/H30)</f>
        <v>0.381902005258903</v>
      </c>
      <c r="K30" s="3"/>
      <c r="L30" s="4" t="s">
        <v>75</v>
      </c>
      <c r="M30" s="3"/>
      <c r="N30" s="3"/>
      <c r="O30" s="4" t="s">
        <v>130</v>
      </c>
      <c r="P30" s="8" t="s">
        <v>27</v>
      </c>
      <c r="Q30" s="9" t="s">
        <v>28</v>
      </c>
    </row>
    <row r="31" customFormat="false" ht="23.85" hidden="false" customHeight="false" outlineLevel="0" collapsed="false">
      <c r="A31" s="11" t="s">
        <v>105</v>
      </c>
      <c r="B31" s="3" t="s">
        <v>131</v>
      </c>
      <c r="C31" s="3" t="s">
        <v>86</v>
      </c>
      <c r="D31" s="4" t="s">
        <v>87</v>
      </c>
      <c r="E31" s="3" t="s">
        <v>88</v>
      </c>
      <c r="F31" s="5" t="n">
        <v>46212</v>
      </c>
      <c r="G31" s="6" t="n">
        <v>721061</v>
      </c>
      <c r="H31" s="6" t="n">
        <v>676229</v>
      </c>
      <c r="I31" s="3" t="s">
        <v>89</v>
      </c>
      <c r="J31" s="7" t="n">
        <f aca="false">IF(OR(G31="",H31=""),"",(G31-H31)/H31)</f>
        <v>0.0662970680050693</v>
      </c>
      <c r="K31" s="3"/>
      <c r="L31" s="4" t="s">
        <v>75</v>
      </c>
      <c r="M31" s="3"/>
      <c r="N31" s="3"/>
      <c r="O31" s="4" t="s">
        <v>132</v>
      </c>
      <c r="P31" s="8" t="s">
        <v>27</v>
      </c>
      <c r="Q31" s="9" t="s">
        <v>28</v>
      </c>
    </row>
    <row r="32" customFormat="false" ht="23.85" hidden="false" customHeight="false" outlineLevel="0" collapsed="false">
      <c r="A32" s="11" t="s">
        <v>105</v>
      </c>
      <c r="B32" s="3" t="s">
        <v>133</v>
      </c>
      <c r="C32" s="3" t="s">
        <v>86</v>
      </c>
      <c r="D32" s="4" t="s">
        <v>87</v>
      </c>
      <c r="E32" s="3" t="s">
        <v>88</v>
      </c>
      <c r="F32" s="5" t="n">
        <v>46212</v>
      </c>
      <c r="G32" s="6" t="n">
        <v>732403</v>
      </c>
      <c r="H32" s="6" t="n">
        <v>676229</v>
      </c>
      <c r="I32" s="3" t="s">
        <v>89</v>
      </c>
      <c r="J32" s="7" t="n">
        <f aca="false">IF(OR(G32="",H32=""),"",(G32-H32)/H32)</f>
        <v>0.0830694927310127</v>
      </c>
      <c r="K32" s="3"/>
      <c r="L32" s="4" t="s">
        <v>75</v>
      </c>
      <c r="M32" s="3"/>
      <c r="N32" s="3"/>
      <c r="O32" s="4" t="s">
        <v>134</v>
      </c>
      <c r="P32" s="8" t="s">
        <v>27</v>
      </c>
      <c r="Q32" s="9" t="s">
        <v>28</v>
      </c>
    </row>
    <row r="33" customFormat="false" ht="23.85" hidden="false" customHeight="false" outlineLevel="0" collapsed="false">
      <c r="A33" s="11" t="s">
        <v>105</v>
      </c>
      <c r="B33" s="3" t="s">
        <v>135</v>
      </c>
      <c r="C33" s="3" t="s">
        <v>86</v>
      </c>
      <c r="D33" s="4" t="s">
        <v>87</v>
      </c>
      <c r="E33" s="3" t="s">
        <v>88</v>
      </c>
      <c r="F33" s="5" t="n">
        <v>46212</v>
      </c>
      <c r="G33" s="6" t="n">
        <v>789141</v>
      </c>
      <c r="H33" s="6" t="n">
        <v>676229</v>
      </c>
      <c r="I33" s="3" t="s">
        <v>89</v>
      </c>
      <c r="J33" s="7" t="n">
        <f aca="false">IF(OR(G33="",H33=""),"",(G33-H33)/H33)</f>
        <v>0.166973022452453</v>
      </c>
      <c r="K33" s="3"/>
      <c r="L33" s="4" t="s">
        <v>75</v>
      </c>
      <c r="M33" s="3"/>
      <c r="N33" s="3"/>
      <c r="O33" s="4" t="s">
        <v>136</v>
      </c>
      <c r="P33" s="8" t="s">
        <v>27</v>
      </c>
      <c r="Q33" s="9" t="s">
        <v>28</v>
      </c>
    </row>
    <row r="34" customFormat="false" ht="23.85" hidden="false" customHeight="false" outlineLevel="0" collapsed="false">
      <c r="A34" s="11" t="s">
        <v>105</v>
      </c>
      <c r="B34" s="3" t="s">
        <v>137</v>
      </c>
      <c r="C34" s="3" t="s">
        <v>86</v>
      </c>
      <c r="D34" s="4" t="s">
        <v>87</v>
      </c>
      <c r="E34" s="3" t="s">
        <v>88</v>
      </c>
      <c r="F34" s="5" t="n">
        <v>46212</v>
      </c>
      <c r="G34" s="6" t="n">
        <v>816169</v>
      </c>
      <c r="H34" s="6" t="n">
        <v>676229</v>
      </c>
      <c r="I34" s="3" t="s">
        <v>89</v>
      </c>
      <c r="J34" s="7" t="n">
        <f aca="false">IF(OR(G34="",H34=""),"",(G34-H34)/H34)</f>
        <v>0.206941731277422</v>
      </c>
      <c r="K34" s="3"/>
      <c r="L34" s="4" t="s">
        <v>75</v>
      </c>
      <c r="M34" s="3"/>
      <c r="N34" s="3"/>
      <c r="O34" s="4" t="s">
        <v>138</v>
      </c>
      <c r="P34" s="8" t="s">
        <v>27</v>
      </c>
      <c r="Q34" s="9" t="s">
        <v>28</v>
      </c>
    </row>
    <row r="35" customFormat="false" ht="23.85" hidden="false" customHeight="false" outlineLevel="0" collapsed="false">
      <c r="A35" s="11" t="s">
        <v>105</v>
      </c>
      <c r="B35" s="3" t="s">
        <v>139</v>
      </c>
      <c r="C35" s="3" t="s">
        <v>86</v>
      </c>
      <c r="D35" s="4" t="s">
        <v>87</v>
      </c>
      <c r="E35" s="3" t="s">
        <v>88</v>
      </c>
      <c r="F35" s="5" t="n">
        <v>46212</v>
      </c>
      <c r="G35" s="6" t="n">
        <v>954200</v>
      </c>
      <c r="H35" s="6" t="n">
        <v>676229</v>
      </c>
      <c r="I35" s="3" t="s">
        <v>89</v>
      </c>
      <c r="J35" s="7" t="n">
        <f aca="false">IF(OR(G35="",H35=""),"",(G35-H35)/H35)</f>
        <v>0.411060454372705</v>
      </c>
      <c r="K35" s="3" t="s">
        <v>140</v>
      </c>
      <c r="L35" s="4" t="s">
        <v>96</v>
      </c>
      <c r="M35" s="3"/>
      <c r="N35" s="3" t="s">
        <v>65</v>
      </c>
      <c r="O35" s="4" t="s">
        <v>141</v>
      </c>
      <c r="P35" s="8" t="s">
        <v>27</v>
      </c>
      <c r="Q35" s="9" t="s">
        <v>28</v>
      </c>
    </row>
  </sheetData>
  <autoFilter ref="A1:Q35"/>
  <hyperlinks>
    <hyperlink ref="Q2" r:id="rId1" display="Open record"/>
    <hyperlink ref="Q3" r:id="rId2" display="Open record"/>
    <hyperlink ref="Q4" r:id="rId3" display="Open record"/>
    <hyperlink ref="Q5" r:id="rId4" display="Open record"/>
    <hyperlink ref="Q6" r:id="rId5" display="Open record"/>
    <hyperlink ref="Q7" r:id="rId6" display="Open record"/>
    <hyperlink ref="Q8" r:id="rId7" display="Open record"/>
    <hyperlink ref="Q9" r:id="rId8" display="Open record"/>
    <hyperlink ref="Q10" r:id="rId9" display="Open record"/>
    <hyperlink ref="Q11" r:id="rId10" display="Open record"/>
    <hyperlink ref="Q12" r:id="rId11" display="Open record"/>
    <hyperlink ref="Q13" r:id="rId12" display="Open record"/>
    <hyperlink ref="Q14" r:id="rId13" display="Open record"/>
    <hyperlink ref="Q15" r:id="rId14" display="Open record"/>
    <hyperlink ref="Q16" r:id="rId15" display="Open record"/>
    <hyperlink ref="Q17" r:id="rId16" display="Open record"/>
    <hyperlink ref="Q18" r:id="rId17" display="Open record"/>
    <hyperlink ref="Q19" r:id="rId18" display="Open record"/>
    <hyperlink ref="Q20" r:id="rId19" display="Open record"/>
    <hyperlink ref="Q21" r:id="rId20" display="Open record"/>
    <hyperlink ref="Q22" r:id="rId21" display="Open record"/>
    <hyperlink ref="Q23" r:id="rId22" display="Open record"/>
    <hyperlink ref="Q24" r:id="rId23" display="Open record"/>
    <hyperlink ref="Q25" r:id="rId24" display="Open record"/>
    <hyperlink ref="Q26" r:id="rId25" display="Open record"/>
    <hyperlink ref="Q27" r:id="rId26" display="Open record"/>
    <hyperlink ref="Q28" r:id="rId27" display="Open record"/>
    <hyperlink ref="Q29" r:id="rId28" display="Open record"/>
    <hyperlink ref="Q30" r:id="rId29" display="Open record"/>
    <hyperlink ref="Q31" r:id="rId30" display="Open record"/>
    <hyperlink ref="Q32" r:id="rId31" display="Open record"/>
    <hyperlink ref="Q33" r:id="rId32" display="Open record"/>
    <hyperlink ref="Q34" r:id="rId33" display="Open record"/>
    <hyperlink ref="Q35" r:id="rId34" display="Open recor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30"/>
    <col collapsed="false" customWidth="true" hidden="false" outlineLevel="0" max="4" min="4" style="0" width="12"/>
    <col collapsed="false" customWidth="true" hidden="false" outlineLevel="0" max="5" min="5" style="0" width="60"/>
    <col collapsed="false" customWidth="true" hidden="false" outlineLevel="0" max="6" min="6" style="0" width="36"/>
    <col collapsed="false" customWidth="true" hidden="false" outlineLevel="0" max="7" min="7" style="0" width="18"/>
  </cols>
  <sheetData>
    <row r="1" customFormat="false" ht="15" hidden="false" customHeight="false" outlineLevel="0" collapsed="false">
      <c r="A1" s="12" t="s">
        <v>10</v>
      </c>
      <c r="B1" s="12" t="s">
        <v>142</v>
      </c>
      <c r="C1" s="12" t="s">
        <v>143</v>
      </c>
      <c r="D1" s="12" t="s">
        <v>0</v>
      </c>
      <c r="E1" s="12" t="s">
        <v>14</v>
      </c>
      <c r="F1" s="12" t="s">
        <v>11</v>
      </c>
      <c r="G1" s="12" t="s">
        <v>144</v>
      </c>
    </row>
    <row r="2" customFormat="false" ht="35.05" hidden="false" customHeight="false" outlineLevel="0" collapsed="false">
      <c r="A2" s="3" t="s">
        <v>145</v>
      </c>
      <c r="B2" s="3" t="s">
        <v>146</v>
      </c>
      <c r="C2" s="3" t="s">
        <v>147</v>
      </c>
      <c r="D2" s="2" t="s">
        <v>17</v>
      </c>
      <c r="E2" s="4" t="s">
        <v>148</v>
      </c>
      <c r="F2" s="3" t="s">
        <v>149</v>
      </c>
      <c r="G2" s="8"/>
    </row>
    <row r="3" customFormat="false" ht="35.05" hidden="false" customHeight="false" outlineLevel="0" collapsed="false">
      <c r="A3" s="3" t="s">
        <v>150</v>
      </c>
      <c r="B3" s="3" t="s">
        <v>151</v>
      </c>
      <c r="C3" s="3" t="s">
        <v>147</v>
      </c>
      <c r="D3" s="2" t="s">
        <v>17</v>
      </c>
      <c r="E3" s="4" t="s">
        <v>152</v>
      </c>
      <c r="F3" s="3" t="s">
        <v>149</v>
      </c>
      <c r="G3" s="8"/>
    </row>
    <row r="4" customFormat="false" ht="35.05" hidden="false" customHeight="false" outlineLevel="0" collapsed="false">
      <c r="A4" s="3" t="s">
        <v>153</v>
      </c>
      <c r="B4" s="3" t="s">
        <v>154</v>
      </c>
      <c r="C4" s="3" t="s">
        <v>147</v>
      </c>
      <c r="D4" s="2" t="s">
        <v>17</v>
      </c>
      <c r="E4" s="4" t="s">
        <v>155</v>
      </c>
      <c r="F4" s="3" t="s">
        <v>149</v>
      </c>
      <c r="G4" s="8"/>
    </row>
    <row r="5" customFormat="false" ht="35.05" hidden="false" customHeight="false" outlineLevel="0" collapsed="false">
      <c r="A5" s="3" t="s">
        <v>156</v>
      </c>
      <c r="B5" s="3" t="s">
        <v>157</v>
      </c>
      <c r="C5" s="3" t="s">
        <v>147</v>
      </c>
      <c r="D5" s="2" t="s">
        <v>17</v>
      </c>
      <c r="E5" s="4" t="s">
        <v>158</v>
      </c>
      <c r="F5" s="3" t="s">
        <v>159</v>
      </c>
      <c r="G5" s="8"/>
    </row>
    <row r="6" customFormat="false" ht="35.05" hidden="false" customHeight="false" outlineLevel="0" collapsed="false">
      <c r="A6" s="3" t="s">
        <v>160</v>
      </c>
      <c r="B6" s="3" t="s">
        <v>161</v>
      </c>
      <c r="C6" s="3" t="s">
        <v>147</v>
      </c>
      <c r="D6" s="2" t="s">
        <v>17</v>
      </c>
      <c r="E6" s="4" t="s">
        <v>162</v>
      </c>
      <c r="F6" s="3" t="s">
        <v>149</v>
      </c>
      <c r="G6" s="8"/>
    </row>
    <row r="7" customFormat="false" ht="35.05" hidden="false" customHeight="false" outlineLevel="0" collapsed="false">
      <c r="A7" s="3" t="s">
        <v>163</v>
      </c>
      <c r="B7" s="3" t="s">
        <v>164</v>
      </c>
      <c r="C7" s="3" t="s">
        <v>147</v>
      </c>
      <c r="D7" s="2" t="s">
        <v>17</v>
      </c>
      <c r="E7" s="4" t="s">
        <v>165</v>
      </c>
      <c r="F7" s="3" t="s">
        <v>159</v>
      </c>
      <c r="G7" s="8"/>
    </row>
    <row r="8" customFormat="false" ht="35.05" hidden="false" customHeight="false" outlineLevel="0" collapsed="false">
      <c r="A8" s="3" t="s">
        <v>166</v>
      </c>
      <c r="B8" s="3" t="s">
        <v>167</v>
      </c>
      <c r="C8" s="3" t="s">
        <v>147</v>
      </c>
      <c r="D8" s="2" t="s">
        <v>17</v>
      </c>
      <c r="E8" s="4" t="s">
        <v>168</v>
      </c>
      <c r="F8" s="3" t="s">
        <v>149</v>
      </c>
      <c r="G8" s="8"/>
    </row>
    <row r="9" customFormat="false" ht="46.25" hidden="false" customHeight="false" outlineLevel="0" collapsed="false">
      <c r="A9" s="3" t="s">
        <v>169</v>
      </c>
      <c r="B9" s="3" t="s">
        <v>170</v>
      </c>
      <c r="C9" s="3" t="s">
        <v>147</v>
      </c>
      <c r="D9" s="2" t="s">
        <v>17</v>
      </c>
      <c r="E9" s="4" t="s">
        <v>171</v>
      </c>
      <c r="F9" s="3" t="s">
        <v>149</v>
      </c>
      <c r="G9" s="8"/>
    </row>
    <row r="10" customFormat="false" ht="35.05" hidden="false" customHeight="false" outlineLevel="0" collapsed="false">
      <c r="A10" s="3" t="s">
        <v>172</v>
      </c>
      <c r="B10" s="3" t="s">
        <v>173</v>
      </c>
      <c r="C10" s="3" t="s">
        <v>147</v>
      </c>
      <c r="D10" s="2" t="s">
        <v>17</v>
      </c>
      <c r="E10" s="4" t="s">
        <v>174</v>
      </c>
      <c r="F10" s="3" t="s">
        <v>149</v>
      </c>
      <c r="G10" s="8"/>
    </row>
    <row r="11" customFormat="false" ht="35.05" hidden="false" customHeight="false" outlineLevel="0" collapsed="false">
      <c r="A11" s="3" t="s">
        <v>175</v>
      </c>
      <c r="B11" s="3" t="s">
        <v>176</v>
      </c>
      <c r="C11" s="3" t="s">
        <v>147</v>
      </c>
      <c r="D11" s="2" t="s">
        <v>17</v>
      </c>
      <c r="E11" s="4" t="s">
        <v>177</v>
      </c>
      <c r="F11" s="3" t="s">
        <v>149</v>
      </c>
      <c r="G11" s="8"/>
    </row>
    <row r="12" customFormat="false" ht="35.05" hidden="false" customHeight="false" outlineLevel="0" collapsed="false">
      <c r="A12" s="3" t="s">
        <v>178</v>
      </c>
      <c r="B12" s="3" t="s">
        <v>179</v>
      </c>
      <c r="C12" s="3" t="s">
        <v>147</v>
      </c>
      <c r="D12" s="2" t="s">
        <v>17</v>
      </c>
      <c r="E12" s="4" t="s">
        <v>180</v>
      </c>
      <c r="F12" s="3" t="s">
        <v>149</v>
      </c>
      <c r="G12" s="8"/>
    </row>
    <row r="13" customFormat="false" ht="46.25" hidden="false" customHeight="false" outlineLevel="0" collapsed="false">
      <c r="A13" s="3" t="s">
        <v>181</v>
      </c>
      <c r="B13" s="3" t="s">
        <v>182</v>
      </c>
      <c r="C13" s="3" t="s">
        <v>147</v>
      </c>
      <c r="D13" s="2" t="s">
        <v>17</v>
      </c>
      <c r="E13" s="4" t="s">
        <v>183</v>
      </c>
      <c r="F13" s="3" t="s">
        <v>159</v>
      </c>
      <c r="G13" s="8"/>
    </row>
    <row r="14" customFormat="false" ht="35.05" hidden="false" customHeight="false" outlineLevel="0" collapsed="false">
      <c r="A14" s="3" t="s">
        <v>184</v>
      </c>
      <c r="B14" s="3" t="s">
        <v>185</v>
      </c>
      <c r="C14" s="3" t="s">
        <v>147</v>
      </c>
      <c r="D14" s="2" t="s">
        <v>17</v>
      </c>
      <c r="E14" s="4" t="s">
        <v>186</v>
      </c>
      <c r="F14" s="3" t="s">
        <v>149</v>
      </c>
      <c r="G14" s="8"/>
    </row>
    <row r="15" customFormat="false" ht="35.05" hidden="false" customHeight="false" outlineLevel="0" collapsed="false">
      <c r="A15" s="3" t="s">
        <v>187</v>
      </c>
      <c r="B15" s="3" t="s">
        <v>188</v>
      </c>
      <c r="C15" s="3" t="s">
        <v>147</v>
      </c>
      <c r="D15" s="2" t="s">
        <v>17</v>
      </c>
      <c r="E15" s="4" t="s">
        <v>189</v>
      </c>
      <c r="F15" s="3" t="s">
        <v>149</v>
      </c>
      <c r="G15" s="8"/>
    </row>
    <row r="16" customFormat="false" ht="35.05" hidden="false" customHeight="false" outlineLevel="0" collapsed="false">
      <c r="A16" s="3" t="s">
        <v>190</v>
      </c>
      <c r="B16" s="3" t="s">
        <v>191</v>
      </c>
      <c r="C16" s="3" t="s">
        <v>147</v>
      </c>
      <c r="D16" s="2" t="s">
        <v>17</v>
      </c>
      <c r="E16" s="4" t="s">
        <v>192</v>
      </c>
      <c r="F16" s="3" t="s">
        <v>149</v>
      </c>
      <c r="G16" s="8"/>
    </row>
    <row r="17" customFormat="false" ht="35.05" hidden="false" customHeight="false" outlineLevel="0" collapsed="false">
      <c r="A17" s="3" t="s">
        <v>193</v>
      </c>
      <c r="B17" s="3" t="s">
        <v>194</v>
      </c>
      <c r="C17" s="3" t="s">
        <v>147</v>
      </c>
      <c r="D17" s="2" t="s">
        <v>17</v>
      </c>
      <c r="E17" s="4" t="s">
        <v>195</v>
      </c>
      <c r="F17" s="3" t="s">
        <v>149</v>
      </c>
      <c r="G17" s="8"/>
    </row>
    <row r="18" customFormat="false" ht="35.05" hidden="false" customHeight="false" outlineLevel="0" collapsed="false">
      <c r="A18" s="3" t="s">
        <v>196</v>
      </c>
      <c r="B18" s="3" t="s">
        <v>197</v>
      </c>
      <c r="C18" s="3" t="s">
        <v>147</v>
      </c>
      <c r="D18" s="2" t="s">
        <v>17</v>
      </c>
      <c r="E18" s="4" t="s">
        <v>198</v>
      </c>
      <c r="F18" s="3" t="s">
        <v>149</v>
      </c>
      <c r="G18" s="8"/>
    </row>
    <row r="19" customFormat="false" ht="35.05" hidden="false" customHeight="false" outlineLevel="0" collapsed="false">
      <c r="A19" s="3" t="s">
        <v>199</v>
      </c>
      <c r="B19" s="3" t="s">
        <v>200</v>
      </c>
      <c r="C19" s="3" t="s">
        <v>147</v>
      </c>
      <c r="D19" s="2" t="s">
        <v>17</v>
      </c>
      <c r="E19" s="4" t="s">
        <v>201</v>
      </c>
      <c r="F19" s="3" t="s">
        <v>149</v>
      </c>
      <c r="G19" s="8"/>
    </row>
    <row r="20" customFormat="false" ht="46.25" hidden="false" customHeight="false" outlineLevel="0" collapsed="false">
      <c r="A20" s="3" t="s">
        <v>202</v>
      </c>
      <c r="B20" s="3" t="s">
        <v>203</v>
      </c>
      <c r="C20" s="3" t="s">
        <v>147</v>
      </c>
      <c r="D20" s="2" t="s">
        <v>17</v>
      </c>
      <c r="E20" s="4" t="s">
        <v>204</v>
      </c>
      <c r="F20" s="3" t="s">
        <v>149</v>
      </c>
      <c r="G20" s="8"/>
    </row>
    <row r="21" customFormat="false" ht="35.05" hidden="false" customHeight="false" outlineLevel="0" collapsed="false">
      <c r="A21" s="3" t="s">
        <v>205</v>
      </c>
      <c r="B21" s="3" t="s">
        <v>206</v>
      </c>
      <c r="C21" s="3" t="s">
        <v>147</v>
      </c>
      <c r="D21" s="2" t="s">
        <v>17</v>
      </c>
      <c r="E21" s="4" t="s">
        <v>207</v>
      </c>
      <c r="F21" s="3" t="s">
        <v>149</v>
      </c>
      <c r="G21" s="8"/>
    </row>
    <row r="22" customFormat="false" ht="35.05" hidden="false" customHeight="false" outlineLevel="0" collapsed="false">
      <c r="A22" s="3" t="s">
        <v>208</v>
      </c>
      <c r="B22" s="3" t="s">
        <v>209</v>
      </c>
      <c r="C22" s="3" t="s">
        <v>147</v>
      </c>
      <c r="D22" s="2" t="s">
        <v>17</v>
      </c>
      <c r="E22" s="4" t="s">
        <v>210</v>
      </c>
      <c r="F22" s="3" t="s">
        <v>149</v>
      </c>
      <c r="G22" s="8"/>
    </row>
    <row r="23" customFormat="false" ht="35.05" hidden="false" customHeight="false" outlineLevel="0" collapsed="false">
      <c r="A23" s="3" t="s">
        <v>211</v>
      </c>
      <c r="B23" s="3" t="s">
        <v>212</v>
      </c>
      <c r="C23" s="3" t="s">
        <v>147</v>
      </c>
      <c r="D23" s="2" t="s">
        <v>17</v>
      </c>
      <c r="E23" s="4" t="s">
        <v>213</v>
      </c>
      <c r="F23" s="3" t="s">
        <v>159</v>
      </c>
      <c r="G23" s="8"/>
    </row>
    <row r="24" customFormat="false" ht="35.05" hidden="false" customHeight="false" outlineLevel="0" collapsed="false">
      <c r="A24" s="3" t="s">
        <v>214</v>
      </c>
      <c r="B24" s="3" t="s">
        <v>215</v>
      </c>
      <c r="C24" s="3" t="s">
        <v>147</v>
      </c>
      <c r="D24" s="2" t="s">
        <v>17</v>
      </c>
      <c r="E24" s="4" t="s">
        <v>216</v>
      </c>
      <c r="F24" s="3" t="s">
        <v>149</v>
      </c>
      <c r="G24" s="8"/>
    </row>
    <row r="25" customFormat="false" ht="46.25" hidden="false" customHeight="false" outlineLevel="0" collapsed="false">
      <c r="A25" s="3" t="s">
        <v>217</v>
      </c>
      <c r="B25" s="3" t="s">
        <v>218</v>
      </c>
      <c r="C25" s="3" t="s">
        <v>147</v>
      </c>
      <c r="D25" s="2" t="s">
        <v>17</v>
      </c>
      <c r="E25" s="4" t="s">
        <v>219</v>
      </c>
      <c r="F25" s="3" t="s">
        <v>149</v>
      </c>
      <c r="G25" s="8"/>
    </row>
    <row r="26" customFormat="false" ht="35.05" hidden="false" customHeight="false" outlineLevel="0" collapsed="false">
      <c r="A26" s="3" t="s">
        <v>220</v>
      </c>
      <c r="B26" s="3" t="s">
        <v>221</v>
      </c>
      <c r="C26" s="3" t="s">
        <v>147</v>
      </c>
      <c r="D26" s="2" t="s">
        <v>17</v>
      </c>
      <c r="E26" s="4" t="s">
        <v>222</v>
      </c>
      <c r="F26" s="3" t="s">
        <v>149</v>
      </c>
      <c r="G26" s="8"/>
    </row>
    <row r="27" customFormat="false" ht="35.05" hidden="false" customHeight="false" outlineLevel="0" collapsed="false">
      <c r="A27" s="3" t="s">
        <v>223</v>
      </c>
      <c r="B27" s="3" t="s">
        <v>224</v>
      </c>
      <c r="C27" s="3" t="s">
        <v>147</v>
      </c>
      <c r="D27" s="2" t="s">
        <v>17</v>
      </c>
      <c r="E27" s="4" t="s">
        <v>225</v>
      </c>
      <c r="F27" s="3" t="s">
        <v>149</v>
      </c>
      <c r="G27" s="8"/>
    </row>
    <row r="28" customFormat="false" ht="35.05" hidden="false" customHeight="false" outlineLevel="0" collapsed="false">
      <c r="A28" s="3" t="s">
        <v>226</v>
      </c>
      <c r="B28" s="3" t="s">
        <v>227</v>
      </c>
      <c r="C28" s="3" t="s">
        <v>147</v>
      </c>
      <c r="D28" s="2" t="s">
        <v>17</v>
      </c>
      <c r="E28" s="4" t="s">
        <v>228</v>
      </c>
      <c r="F28" s="3" t="s">
        <v>149</v>
      </c>
      <c r="G28" s="8"/>
    </row>
    <row r="29" customFormat="false" ht="35.05" hidden="false" customHeight="false" outlineLevel="0" collapsed="false">
      <c r="A29" s="3" t="s">
        <v>229</v>
      </c>
      <c r="B29" s="3" t="s">
        <v>230</v>
      </c>
      <c r="C29" s="3" t="s">
        <v>147</v>
      </c>
      <c r="D29" s="2" t="s">
        <v>17</v>
      </c>
      <c r="E29" s="4" t="s">
        <v>231</v>
      </c>
      <c r="F29" s="3" t="s">
        <v>149</v>
      </c>
      <c r="G29" s="8"/>
    </row>
    <row r="30" customFormat="false" ht="35.05" hidden="false" customHeight="false" outlineLevel="0" collapsed="false">
      <c r="A30" s="3" t="s">
        <v>232</v>
      </c>
      <c r="B30" s="3" t="s">
        <v>233</v>
      </c>
      <c r="C30" s="3" t="s">
        <v>147</v>
      </c>
      <c r="D30" s="2" t="s">
        <v>17</v>
      </c>
      <c r="E30" s="4" t="s">
        <v>234</v>
      </c>
      <c r="F30" s="3" t="s">
        <v>149</v>
      </c>
      <c r="G30" s="8"/>
    </row>
    <row r="31" customFormat="false" ht="35.05" hidden="false" customHeight="false" outlineLevel="0" collapsed="false">
      <c r="A31" s="3" t="s">
        <v>235</v>
      </c>
      <c r="B31" s="3" t="s">
        <v>236</v>
      </c>
      <c r="C31" s="3" t="s">
        <v>147</v>
      </c>
      <c r="D31" s="2" t="s">
        <v>17</v>
      </c>
      <c r="E31" s="4" t="s">
        <v>237</v>
      </c>
      <c r="F31" s="3" t="s">
        <v>159</v>
      </c>
      <c r="G31" s="8"/>
    </row>
    <row r="32" customFormat="false" ht="35.05" hidden="false" customHeight="false" outlineLevel="0" collapsed="false">
      <c r="A32" s="3" t="s">
        <v>238</v>
      </c>
      <c r="B32" s="3" t="s">
        <v>239</v>
      </c>
      <c r="C32" s="3" t="s">
        <v>147</v>
      </c>
      <c r="D32" s="2" t="s">
        <v>17</v>
      </c>
      <c r="E32" s="4" t="s">
        <v>240</v>
      </c>
      <c r="F32" s="3" t="s">
        <v>159</v>
      </c>
      <c r="G32" s="8"/>
    </row>
    <row r="33" customFormat="false" ht="46.25" hidden="false" customHeight="false" outlineLevel="0" collapsed="false">
      <c r="A33" s="3" t="s">
        <v>241</v>
      </c>
      <c r="B33" s="3" t="s">
        <v>242</v>
      </c>
      <c r="C33" s="3" t="s">
        <v>147</v>
      </c>
      <c r="D33" s="2" t="s">
        <v>17</v>
      </c>
      <c r="E33" s="4" t="s">
        <v>243</v>
      </c>
      <c r="F33" s="3" t="s">
        <v>149</v>
      </c>
      <c r="G33" s="8"/>
    </row>
    <row r="34" customFormat="false" ht="46.25" hidden="false" customHeight="false" outlineLevel="0" collapsed="false">
      <c r="A34" s="3" t="s">
        <v>244</v>
      </c>
      <c r="B34" s="3" t="s">
        <v>245</v>
      </c>
      <c r="C34" s="3" t="s">
        <v>147</v>
      </c>
      <c r="D34" s="2" t="s">
        <v>17</v>
      </c>
      <c r="E34" s="4" t="s">
        <v>246</v>
      </c>
      <c r="F34" s="3" t="s">
        <v>149</v>
      </c>
      <c r="G34" s="8"/>
    </row>
    <row r="35" customFormat="false" ht="35.05" hidden="false" customHeight="false" outlineLevel="0" collapsed="false">
      <c r="A35" s="3" t="s">
        <v>247</v>
      </c>
      <c r="B35" s="3" t="s">
        <v>248</v>
      </c>
      <c r="C35" s="3" t="s">
        <v>147</v>
      </c>
      <c r="D35" s="2" t="s">
        <v>17</v>
      </c>
      <c r="E35" s="4" t="s">
        <v>249</v>
      </c>
      <c r="F35" s="3" t="s">
        <v>149</v>
      </c>
      <c r="G35" s="8"/>
    </row>
    <row r="36" customFormat="false" ht="35.05" hidden="false" customHeight="false" outlineLevel="0" collapsed="false">
      <c r="A36" s="3" t="s">
        <v>250</v>
      </c>
      <c r="B36" s="3" t="s">
        <v>251</v>
      </c>
      <c r="C36" s="3" t="s">
        <v>147</v>
      </c>
      <c r="D36" s="2" t="s">
        <v>17</v>
      </c>
      <c r="E36" s="4" t="s">
        <v>249</v>
      </c>
      <c r="F36" s="3" t="s">
        <v>149</v>
      </c>
      <c r="G36" s="8"/>
    </row>
    <row r="37" customFormat="false" ht="35.05" hidden="false" customHeight="false" outlineLevel="0" collapsed="false">
      <c r="A37" s="3" t="s">
        <v>252</v>
      </c>
      <c r="B37" s="3" t="s">
        <v>88</v>
      </c>
      <c r="C37" s="3" t="s">
        <v>147</v>
      </c>
      <c r="D37" s="2" t="s">
        <v>17</v>
      </c>
      <c r="E37" s="4" t="s">
        <v>249</v>
      </c>
      <c r="F37" s="3" t="s">
        <v>159</v>
      </c>
      <c r="G37" s="8"/>
    </row>
    <row r="38" customFormat="false" ht="35.05" hidden="false" customHeight="false" outlineLevel="0" collapsed="false">
      <c r="A38" s="3" t="s">
        <v>253</v>
      </c>
      <c r="B38" s="3" t="s">
        <v>254</v>
      </c>
      <c r="C38" s="3" t="s">
        <v>147</v>
      </c>
      <c r="D38" s="2" t="s">
        <v>17</v>
      </c>
      <c r="E38" s="4" t="s">
        <v>255</v>
      </c>
      <c r="F38" s="3" t="s">
        <v>149</v>
      </c>
      <c r="G38" s="8"/>
    </row>
    <row r="39" customFormat="false" ht="35.05" hidden="false" customHeight="false" outlineLevel="0" collapsed="false">
      <c r="A39" s="3" t="s">
        <v>256</v>
      </c>
      <c r="B39" s="3" t="s">
        <v>257</v>
      </c>
      <c r="C39" s="3" t="s">
        <v>147</v>
      </c>
      <c r="D39" s="2" t="s">
        <v>17</v>
      </c>
      <c r="E39" s="4" t="s">
        <v>258</v>
      </c>
      <c r="F39" s="3" t="s">
        <v>149</v>
      </c>
      <c r="G39" s="8"/>
    </row>
    <row r="40" customFormat="false" ht="35.05" hidden="false" customHeight="false" outlineLevel="0" collapsed="false">
      <c r="A40" s="3" t="s">
        <v>259</v>
      </c>
      <c r="B40" s="3" t="s">
        <v>260</v>
      </c>
      <c r="C40" s="3" t="s">
        <v>147</v>
      </c>
      <c r="D40" s="2" t="s">
        <v>17</v>
      </c>
      <c r="E40" s="4" t="s">
        <v>261</v>
      </c>
      <c r="F40" s="3" t="s">
        <v>149</v>
      </c>
      <c r="G40" s="8"/>
    </row>
    <row r="41" customFormat="false" ht="35.05" hidden="false" customHeight="false" outlineLevel="0" collapsed="false">
      <c r="A41" s="3" t="s">
        <v>262</v>
      </c>
      <c r="B41" s="3" t="s">
        <v>263</v>
      </c>
      <c r="C41" s="3" t="s">
        <v>147</v>
      </c>
      <c r="D41" s="2" t="s">
        <v>17</v>
      </c>
      <c r="E41" s="4" t="s">
        <v>264</v>
      </c>
      <c r="F41" s="3" t="s">
        <v>149</v>
      </c>
      <c r="G41" s="8"/>
    </row>
    <row r="42" customFormat="false" ht="35.05" hidden="false" customHeight="false" outlineLevel="0" collapsed="false">
      <c r="A42" s="3" t="s">
        <v>265</v>
      </c>
      <c r="B42" s="3" t="s">
        <v>266</v>
      </c>
      <c r="C42" s="3" t="s">
        <v>147</v>
      </c>
      <c r="D42" s="2" t="s">
        <v>17</v>
      </c>
      <c r="E42" s="4" t="s">
        <v>267</v>
      </c>
      <c r="F42" s="3" t="s">
        <v>149</v>
      </c>
      <c r="G42" s="8"/>
    </row>
    <row r="43" customFormat="false" ht="35.05" hidden="false" customHeight="false" outlineLevel="0" collapsed="false">
      <c r="A43" s="3" t="s">
        <v>268</v>
      </c>
      <c r="B43" s="3" t="s">
        <v>269</v>
      </c>
      <c r="C43" s="3" t="s">
        <v>147</v>
      </c>
      <c r="D43" s="2" t="s">
        <v>17</v>
      </c>
      <c r="E43" s="4" t="s">
        <v>270</v>
      </c>
      <c r="F43" s="3" t="s">
        <v>149</v>
      </c>
      <c r="G43" s="8"/>
    </row>
    <row r="44" customFormat="false" ht="46.25" hidden="false" customHeight="false" outlineLevel="0" collapsed="false">
      <c r="A44" s="3" t="s">
        <v>271</v>
      </c>
      <c r="B44" s="3" t="s">
        <v>272</v>
      </c>
      <c r="C44" s="3" t="s">
        <v>147</v>
      </c>
      <c r="D44" s="2" t="s">
        <v>17</v>
      </c>
      <c r="E44" s="4" t="s">
        <v>273</v>
      </c>
      <c r="F44" s="3" t="s">
        <v>159</v>
      </c>
      <c r="G44" s="8"/>
    </row>
    <row r="45" customFormat="false" ht="35.05" hidden="false" customHeight="false" outlineLevel="0" collapsed="false">
      <c r="A45" s="3" t="s">
        <v>274</v>
      </c>
      <c r="B45" s="3" t="s">
        <v>275</v>
      </c>
      <c r="C45" s="3" t="s">
        <v>147</v>
      </c>
      <c r="D45" s="2" t="s">
        <v>17</v>
      </c>
      <c r="E45" s="4" t="s">
        <v>276</v>
      </c>
      <c r="F45" s="3" t="s">
        <v>149</v>
      </c>
      <c r="G45" s="8"/>
    </row>
    <row r="46" customFormat="false" ht="35.05" hidden="false" customHeight="false" outlineLevel="0" collapsed="false">
      <c r="A46" s="3" t="s">
        <v>277</v>
      </c>
      <c r="B46" s="3" t="s">
        <v>278</v>
      </c>
      <c r="C46" s="3" t="s">
        <v>147</v>
      </c>
      <c r="D46" s="2" t="s">
        <v>17</v>
      </c>
      <c r="E46" s="4" t="s">
        <v>279</v>
      </c>
      <c r="F46" s="3" t="s">
        <v>159</v>
      </c>
      <c r="G46" s="8"/>
    </row>
    <row r="47" customFormat="false" ht="35.05" hidden="false" customHeight="false" outlineLevel="0" collapsed="false">
      <c r="A47" s="3" t="s">
        <v>280</v>
      </c>
      <c r="B47" s="3" t="s">
        <v>281</v>
      </c>
      <c r="C47" s="3" t="s">
        <v>147</v>
      </c>
      <c r="D47" s="2" t="s">
        <v>17</v>
      </c>
      <c r="E47" s="4" t="s">
        <v>282</v>
      </c>
      <c r="F47" s="3" t="s">
        <v>149</v>
      </c>
      <c r="G47" s="8"/>
    </row>
    <row r="48" customFormat="false" ht="46.25" hidden="false" customHeight="false" outlineLevel="0" collapsed="false">
      <c r="A48" s="3" t="s">
        <v>283</v>
      </c>
      <c r="B48" s="3" t="s">
        <v>284</v>
      </c>
      <c r="C48" s="3" t="s">
        <v>147</v>
      </c>
      <c r="D48" s="2" t="s">
        <v>17</v>
      </c>
      <c r="E48" s="4" t="s">
        <v>285</v>
      </c>
      <c r="F48" s="3" t="s">
        <v>149</v>
      </c>
      <c r="G48" s="8"/>
    </row>
    <row r="49" customFormat="false" ht="46.25" hidden="false" customHeight="false" outlineLevel="0" collapsed="false">
      <c r="A49" s="3" t="s">
        <v>286</v>
      </c>
      <c r="B49" s="3" t="s">
        <v>287</v>
      </c>
      <c r="C49" s="3" t="s">
        <v>147</v>
      </c>
      <c r="D49" s="2" t="s">
        <v>17</v>
      </c>
      <c r="E49" s="4" t="s">
        <v>288</v>
      </c>
      <c r="F49" s="3" t="s">
        <v>149</v>
      </c>
      <c r="G49" s="8"/>
    </row>
    <row r="50" customFormat="false" ht="35.05" hidden="false" customHeight="false" outlineLevel="0" collapsed="false">
      <c r="A50" s="3" t="s">
        <v>289</v>
      </c>
      <c r="B50" s="3" t="s">
        <v>290</v>
      </c>
      <c r="C50" s="3" t="s">
        <v>147</v>
      </c>
      <c r="D50" s="2" t="s">
        <v>17</v>
      </c>
      <c r="E50" s="4" t="s">
        <v>291</v>
      </c>
      <c r="F50" s="3" t="s">
        <v>149</v>
      </c>
      <c r="G50" s="8"/>
    </row>
    <row r="51" customFormat="false" ht="46.25" hidden="false" customHeight="false" outlineLevel="0" collapsed="false">
      <c r="A51" s="3" t="s">
        <v>292</v>
      </c>
      <c r="B51" s="3" t="s">
        <v>293</v>
      </c>
      <c r="C51" s="3" t="s">
        <v>147</v>
      </c>
      <c r="D51" s="2" t="s">
        <v>17</v>
      </c>
      <c r="E51" s="4" t="s">
        <v>294</v>
      </c>
      <c r="F51" s="3" t="s">
        <v>149</v>
      </c>
      <c r="G51" s="8"/>
    </row>
    <row r="52" customFormat="false" ht="35.05" hidden="false" customHeight="false" outlineLevel="0" collapsed="false">
      <c r="A52" s="3" t="s">
        <v>295</v>
      </c>
      <c r="B52" s="3" t="s">
        <v>296</v>
      </c>
      <c r="C52" s="3" t="s">
        <v>147</v>
      </c>
      <c r="D52" s="2" t="s">
        <v>17</v>
      </c>
      <c r="E52" s="4" t="s">
        <v>297</v>
      </c>
      <c r="F52" s="3" t="s">
        <v>149</v>
      </c>
      <c r="G52" s="8"/>
    </row>
    <row r="53" customFormat="false" ht="46.25" hidden="false" customHeight="false" outlineLevel="0" collapsed="false">
      <c r="A53" s="3" t="s">
        <v>298</v>
      </c>
      <c r="B53" s="3" t="s">
        <v>299</v>
      </c>
      <c r="C53" s="3" t="s">
        <v>147</v>
      </c>
      <c r="D53" s="2" t="s">
        <v>17</v>
      </c>
      <c r="E53" s="4" t="s">
        <v>300</v>
      </c>
      <c r="F53" s="3" t="s">
        <v>149</v>
      </c>
      <c r="G53" s="8"/>
    </row>
    <row r="54" customFormat="false" ht="35.05" hidden="false" customHeight="false" outlineLevel="0" collapsed="false">
      <c r="A54" s="3" t="s">
        <v>301</v>
      </c>
      <c r="B54" s="3" t="s">
        <v>302</v>
      </c>
      <c r="C54" s="3" t="s">
        <v>147</v>
      </c>
      <c r="D54" s="2" t="s">
        <v>17</v>
      </c>
      <c r="E54" s="4" t="s">
        <v>303</v>
      </c>
      <c r="F54" s="3" t="s">
        <v>149</v>
      </c>
      <c r="G54" s="8"/>
    </row>
    <row r="55" customFormat="false" ht="35.05" hidden="false" customHeight="false" outlineLevel="0" collapsed="false">
      <c r="A55" s="3" t="s">
        <v>304</v>
      </c>
      <c r="B55" s="3" t="s">
        <v>305</v>
      </c>
      <c r="C55" s="3" t="s">
        <v>147</v>
      </c>
      <c r="D55" s="2" t="s">
        <v>17</v>
      </c>
      <c r="E55" s="4" t="s">
        <v>306</v>
      </c>
      <c r="F55" s="3" t="s">
        <v>149</v>
      </c>
      <c r="G55" s="8"/>
    </row>
    <row r="56" customFormat="false" ht="46.25" hidden="false" customHeight="false" outlineLevel="0" collapsed="false">
      <c r="A56" s="3" t="s">
        <v>307</v>
      </c>
      <c r="B56" s="3" t="s">
        <v>308</v>
      </c>
      <c r="C56" s="3" t="s">
        <v>147</v>
      </c>
      <c r="D56" s="2" t="s">
        <v>17</v>
      </c>
      <c r="E56" s="4" t="s">
        <v>309</v>
      </c>
      <c r="F56" s="3" t="s">
        <v>149</v>
      </c>
      <c r="G56" s="8"/>
    </row>
    <row r="57" customFormat="false" ht="35.05" hidden="false" customHeight="false" outlineLevel="0" collapsed="false">
      <c r="A57" s="3" t="s">
        <v>310</v>
      </c>
      <c r="B57" s="3" t="s">
        <v>311</v>
      </c>
      <c r="C57" s="3" t="s">
        <v>147</v>
      </c>
      <c r="D57" s="2" t="s">
        <v>17</v>
      </c>
      <c r="E57" s="4" t="s">
        <v>312</v>
      </c>
      <c r="F57" s="3" t="s">
        <v>149</v>
      </c>
      <c r="G57" s="8"/>
    </row>
    <row r="58" customFormat="false" ht="35.05" hidden="false" customHeight="false" outlineLevel="0" collapsed="false">
      <c r="A58" s="3" t="s">
        <v>313</v>
      </c>
      <c r="B58" s="3" t="s">
        <v>314</v>
      </c>
      <c r="C58" s="3" t="s">
        <v>147</v>
      </c>
      <c r="D58" s="2" t="s">
        <v>17</v>
      </c>
      <c r="E58" s="4" t="s">
        <v>315</v>
      </c>
      <c r="F58" s="3" t="s">
        <v>149</v>
      </c>
      <c r="G58" s="8"/>
    </row>
    <row r="59" customFormat="false" ht="46.25" hidden="false" customHeight="false" outlineLevel="0" collapsed="false">
      <c r="A59" s="3" t="s">
        <v>316</v>
      </c>
      <c r="B59" s="3" t="s">
        <v>317</v>
      </c>
      <c r="C59" s="3" t="s">
        <v>147</v>
      </c>
      <c r="D59" s="2" t="s">
        <v>17</v>
      </c>
      <c r="E59" s="4" t="s">
        <v>318</v>
      </c>
      <c r="F59" s="3" t="s">
        <v>149</v>
      </c>
      <c r="G59" s="8"/>
    </row>
    <row r="60" customFormat="false" ht="23.85" hidden="false" customHeight="false" outlineLevel="0" collapsed="false">
      <c r="A60" s="3" t="s">
        <v>319</v>
      </c>
      <c r="B60" s="3" t="s">
        <v>320</v>
      </c>
      <c r="C60" s="3" t="s">
        <v>321</v>
      </c>
      <c r="D60" s="2" t="s">
        <v>17</v>
      </c>
      <c r="E60" s="4" t="s">
        <v>322</v>
      </c>
      <c r="F60" s="3" t="s">
        <v>149</v>
      </c>
      <c r="G60" s="8"/>
    </row>
    <row r="61" customFormat="false" ht="23.85" hidden="false" customHeight="false" outlineLevel="0" collapsed="false">
      <c r="A61" s="3" t="s">
        <v>323</v>
      </c>
      <c r="B61" s="3" t="s">
        <v>324</v>
      </c>
      <c r="C61" s="3" t="s">
        <v>321</v>
      </c>
      <c r="D61" s="2" t="s">
        <v>17</v>
      </c>
      <c r="E61" s="4" t="s">
        <v>325</v>
      </c>
      <c r="F61" s="3" t="s">
        <v>159</v>
      </c>
      <c r="G61" s="8"/>
    </row>
    <row r="62" customFormat="false" ht="23.85" hidden="false" customHeight="false" outlineLevel="0" collapsed="false">
      <c r="A62" s="3" t="s">
        <v>326</v>
      </c>
      <c r="B62" s="3" t="s">
        <v>327</v>
      </c>
      <c r="C62" s="3" t="s">
        <v>321</v>
      </c>
      <c r="D62" s="2" t="s">
        <v>17</v>
      </c>
      <c r="E62" s="4" t="s">
        <v>328</v>
      </c>
      <c r="F62" s="3" t="s">
        <v>149</v>
      </c>
      <c r="G62" s="8"/>
    </row>
    <row r="63" customFormat="false" ht="23.85" hidden="false" customHeight="false" outlineLevel="0" collapsed="false">
      <c r="A63" s="3" t="s">
        <v>329</v>
      </c>
      <c r="B63" s="3" t="s">
        <v>330</v>
      </c>
      <c r="C63" s="3" t="s">
        <v>321</v>
      </c>
      <c r="D63" s="2" t="s">
        <v>17</v>
      </c>
      <c r="E63" s="4" t="s">
        <v>331</v>
      </c>
      <c r="F63" s="3" t="s">
        <v>149</v>
      </c>
      <c r="G63" s="8"/>
    </row>
    <row r="64" customFormat="false" ht="23.85" hidden="false" customHeight="false" outlineLevel="0" collapsed="false">
      <c r="A64" s="3" t="s">
        <v>332</v>
      </c>
      <c r="B64" s="3" t="s">
        <v>333</v>
      </c>
      <c r="C64" s="3" t="s">
        <v>321</v>
      </c>
      <c r="D64" s="2" t="s">
        <v>17</v>
      </c>
      <c r="E64" s="4" t="s">
        <v>334</v>
      </c>
      <c r="F64" s="3" t="s">
        <v>149</v>
      </c>
      <c r="G64" s="8"/>
    </row>
    <row r="65" customFormat="false" ht="23.85" hidden="false" customHeight="false" outlineLevel="0" collapsed="false">
      <c r="A65" s="3" t="s">
        <v>335</v>
      </c>
      <c r="B65" s="3" t="s">
        <v>336</v>
      </c>
      <c r="C65" s="3" t="s">
        <v>321</v>
      </c>
      <c r="D65" s="2" t="s">
        <v>17</v>
      </c>
      <c r="E65" s="4" t="s">
        <v>337</v>
      </c>
      <c r="F65" s="3" t="s">
        <v>149</v>
      </c>
      <c r="G65" s="8"/>
    </row>
    <row r="66" customFormat="false" ht="23.85" hidden="false" customHeight="false" outlineLevel="0" collapsed="false">
      <c r="A66" s="3" t="s">
        <v>338</v>
      </c>
      <c r="B66" s="3" t="s">
        <v>339</v>
      </c>
      <c r="C66" s="3" t="s">
        <v>321</v>
      </c>
      <c r="D66" s="2" t="s">
        <v>17</v>
      </c>
      <c r="E66" s="4" t="s">
        <v>340</v>
      </c>
      <c r="F66" s="3" t="s">
        <v>149</v>
      </c>
      <c r="G66" s="8"/>
    </row>
    <row r="67" customFormat="false" ht="15" hidden="false" customHeight="false" outlineLevel="0" collapsed="false">
      <c r="A67" s="3" t="s">
        <v>23</v>
      </c>
      <c r="B67" s="3" t="s">
        <v>18</v>
      </c>
      <c r="C67" s="3" t="s">
        <v>341</v>
      </c>
      <c r="D67" s="2" t="s">
        <v>17</v>
      </c>
      <c r="E67" s="4" t="s">
        <v>26</v>
      </c>
      <c r="F67" s="3" t="s">
        <v>24</v>
      </c>
      <c r="G67" s="8"/>
    </row>
    <row r="68" customFormat="false" ht="23.85" hidden="false" customHeight="false" outlineLevel="0" collapsed="false">
      <c r="A68" s="3" t="s">
        <v>51</v>
      </c>
      <c r="B68" s="3" t="s">
        <v>49</v>
      </c>
      <c r="C68" s="3" t="s">
        <v>341</v>
      </c>
      <c r="D68" s="2" t="s">
        <v>17</v>
      </c>
      <c r="E68" s="4" t="s">
        <v>47</v>
      </c>
      <c r="F68" s="3" t="s">
        <v>52</v>
      </c>
      <c r="G68" s="8"/>
    </row>
    <row r="69" customFormat="false" ht="15" hidden="false" customHeight="false" outlineLevel="0" collapsed="false">
      <c r="A69" s="3" t="s">
        <v>62</v>
      </c>
      <c r="B69" s="3" t="s">
        <v>57</v>
      </c>
      <c r="C69" s="3" t="s">
        <v>341</v>
      </c>
      <c r="D69" s="2" t="s">
        <v>17</v>
      </c>
      <c r="E69" s="4" t="s">
        <v>66</v>
      </c>
      <c r="F69" s="3" t="s">
        <v>63</v>
      </c>
      <c r="G69" s="8"/>
    </row>
    <row r="70" customFormat="false" ht="15" hidden="false" customHeight="false" outlineLevel="0" collapsed="false">
      <c r="A70" s="3" t="s">
        <v>79</v>
      </c>
      <c r="B70" s="3" t="s">
        <v>77</v>
      </c>
      <c r="C70" s="3" t="s">
        <v>341</v>
      </c>
      <c r="D70" s="2" t="s">
        <v>17</v>
      </c>
      <c r="E70" s="4" t="s">
        <v>81</v>
      </c>
      <c r="F70" s="3" t="s">
        <v>80</v>
      </c>
      <c r="G70" s="8"/>
    </row>
    <row r="71" customFormat="false" ht="23.85" hidden="false" customHeight="false" outlineLevel="0" collapsed="false">
      <c r="A71" s="3" t="s">
        <v>342</v>
      </c>
      <c r="B71" s="3" t="s">
        <v>343</v>
      </c>
      <c r="C71" s="3" t="s">
        <v>147</v>
      </c>
      <c r="D71" s="10" t="s">
        <v>65</v>
      </c>
      <c r="E71" s="4" t="s">
        <v>344</v>
      </c>
      <c r="F71" s="3" t="s">
        <v>149</v>
      </c>
      <c r="G71" s="8"/>
    </row>
    <row r="72" customFormat="false" ht="23.85" hidden="false" customHeight="false" outlineLevel="0" collapsed="false">
      <c r="A72" s="3" t="s">
        <v>345</v>
      </c>
      <c r="B72" s="3" t="s">
        <v>346</v>
      </c>
      <c r="C72" s="3" t="s">
        <v>147</v>
      </c>
      <c r="D72" s="10" t="s">
        <v>65</v>
      </c>
      <c r="E72" s="4" t="s">
        <v>347</v>
      </c>
      <c r="F72" s="3" t="s">
        <v>149</v>
      </c>
      <c r="G72" s="8"/>
    </row>
    <row r="73" customFormat="false" ht="23.85" hidden="false" customHeight="false" outlineLevel="0" collapsed="false">
      <c r="A73" s="3" t="s">
        <v>348</v>
      </c>
      <c r="B73" s="3" t="s">
        <v>349</v>
      </c>
      <c r="C73" s="3" t="s">
        <v>147</v>
      </c>
      <c r="D73" s="10" t="s">
        <v>65</v>
      </c>
      <c r="E73" s="4" t="s">
        <v>350</v>
      </c>
      <c r="F73" s="3" t="s">
        <v>149</v>
      </c>
      <c r="G73" s="8"/>
    </row>
    <row r="74" customFormat="false" ht="23.85" hidden="false" customHeight="false" outlineLevel="0" collapsed="false">
      <c r="A74" s="3" t="s">
        <v>351</v>
      </c>
      <c r="B74" s="3" t="s">
        <v>352</v>
      </c>
      <c r="C74" s="3" t="s">
        <v>147</v>
      </c>
      <c r="D74" s="10" t="s">
        <v>65</v>
      </c>
      <c r="E74" s="4" t="s">
        <v>353</v>
      </c>
      <c r="F74" s="3" t="s">
        <v>149</v>
      </c>
      <c r="G74" s="8"/>
    </row>
    <row r="75" customFormat="false" ht="23.85" hidden="false" customHeight="false" outlineLevel="0" collapsed="false">
      <c r="A75" s="3" t="s">
        <v>354</v>
      </c>
      <c r="B75" s="3" t="s">
        <v>355</v>
      </c>
      <c r="C75" s="3" t="s">
        <v>147</v>
      </c>
      <c r="D75" s="10" t="s">
        <v>65</v>
      </c>
      <c r="E75" s="4" t="s">
        <v>356</v>
      </c>
      <c r="F75" s="3" t="s">
        <v>149</v>
      </c>
      <c r="G75" s="8"/>
    </row>
    <row r="76" customFormat="false" ht="23.85" hidden="false" customHeight="false" outlineLevel="0" collapsed="false">
      <c r="A76" s="3" t="s">
        <v>357</v>
      </c>
      <c r="B76" s="3" t="s">
        <v>358</v>
      </c>
      <c r="C76" s="3" t="s">
        <v>147</v>
      </c>
      <c r="D76" s="10" t="s">
        <v>65</v>
      </c>
      <c r="E76" s="4" t="s">
        <v>359</v>
      </c>
      <c r="F76" s="3" t="s">
        <v>149</v>
      </c>
      <c r="G76" s="8"/>
    </row>
    <row r="77" customFormat="false" ht="23.85" hidden="false" customHeight="false" outlineLevel="0" collapsed="false">
      <c r="A77" s="3" t="s">
        <v>360</v>
      </c>
      <c r="B77" s="3" t="s">
        <v>361</v>
      </c>
      <c r="C77" s="3" t="s">
        <v>147</v>
      </c>
      <c r="D77" s="10" t="s">
        <v>65</v>
      </c>
      <c r="E77" s="4" t="s">
        <v>362</v>
      </c>
      <c r="F77" s="3" t="s">
        <v>149</v>
      </c>
      <c r="G77" s="8"/>
    </row>
    <row r="78" customFormat="false" ht="35.05" hidden="false" customHeight="false" outlineLevel="0" collapsed="false">
      <c r="A78" s="3" t="s">
        <v>363</v>
      </c>
      <c r="B78" s="3" t="s">
        <v>364</v>
      </c>
      <c r="C78" s="3" t="s">
        <v>147</v>
      </c>
      <c r="D78" s="10" t="s">
        <v>65</v>
      </c>
      <c r="E78" s="4" t="s">
        <v>365</v>
      </c>
      <c r="F78" s="3" t="s">
        <v>149</v>
      </c>
      <c r="G78" s="8"/>
    </row>
    <row r="79" customFormat="false" ht="23.85" hidden="false" customHeight="false" outlineLevel="0" collapsed="false">
      <c r="A79" s="3" t="s">
        <v>366</v>
      </c>
      <c r="B79" s="3" t="s">
        <v>367</v>
      </c>
      <c r="C79" s="3" t="s">
        <v>147</v>
      </c>
      <c r="D79" s="10" t="s">
        <v>65</v>
      </c>
      <c r="E79" s="4" t="s">
        <v>368</v>
      </c>
      <c r="F79" s="3" t="s">
        <v>149</v>
      </c>
      <c r="G79" s="8"/>
    </row>
    <row r="80" customFormat="false" ht="23.85" hidden="false" customHeight="false" outlineLevel="0" collapsed="false">
      <c r="A80" s="3" t="s">
        <v>369</v>
      </c>
      <c r="B80" s="3" t="s">
        <v>370</v>
      </c>
      <c r="C80" s="3" t="s">
        <v>147</v>
      </c>
      <c r="D80" s="10" t="s">
        <v>65</v>
      </c>
      <c r="E80" s="4" t="s">
        <v>371</v>
      </c>
      <c r="F80" s="3" t="s">
        <v>149</v>
      </c>
      <c r="G80" s="8"/>
    </row>
    <row r="81" customFormat="false" ht="35.05" hidden="false" customHeight="false" outlineLevel="0" collapsed="false">
      <c r="A81" s="3" t="s">
        <v>372</v>
      </c>
      <c r="B81" s="3" t="s">
        <v>373</v>
      </c>
      <c r="C81" s="3" t="s">
        <v>147</v>
      </c>
      <c r="D81" s="10" t="s">
        <v>65</v>
      </c>
      <c r="E81" s="4" t="s">
        <v>374</v>
      </c>
      <c r="F81" s="3" t="s">
        <v>149</v>
      </c>
      <c r="G81" s="8"/>
    </row>
    <row r="82" customFormat="false" ht="35.05" hidden="false" customHeight="false" outlineLevel="0" collapsed="false">
      <c r="A82" s="3" t="s">
        <v>375</v>
      </c>
      <c r="B82" s="3" t="s">
        <v>376</v>
      </c>
      <c r="C82" s="3" t="s">
        <v>147</v>
      </c>
      <c r="D82" s="10" t="s">
        <v>65</v>
      </c>
      <c r="E82" s="4" t="s">
        <v>377</v>
      </c>
      <c r="F82" s="3" t="s">
        <v>149</v>
      </c>
      <c r="G82" s="8"/>
    </row>
    <row r="83" customFormat="false" ht="23.85" hidden="false" customHeight="false" outlineLevel="0" collapsed="false">
      <c r="A83" s="3" t="s">
        <v>378</v>
      </c>
      <c r="B83" s="3" t="s">
        <v>379</v>
      </c>
      <c r="C83" s="3" t="s">
        <v>147</v>
      </c>
      <c r="D83" s="10" t="s">
        <v>65</v>
      </c>
      <c r="E83" s="4" t="s">
        <v>380</v>
      </c>
      <c r="F83" s="3" t="s">
        <v>149</v>
      </c>
      <c r="G83" s="8"/>
    </row>
    <row r="84" customFormat="false" ht="35.05" hidden="false" customHeight="false" outlineLevel="0" collapsed="false">
      <c r="A84" s="3" t="s">
        <v>381</v>
      </c>
      <c r="B84" s="3" t="s">
        <v>382</v>
      </c>
      <c r="C84" s="3" t="s">
        <v>147</v>
      </c>
      <c r="D84" s="10" t="s">
        <v>65</v>
      </c>
      <c r="E84" s="4" t="s">
        <v>383</v>
      </c>
      <c r="F84" s="3" t="s">
        <v>149</v>
      </c>
      <c r="G84" s="8"/>
    </row>
    <row r="85" customFormat="false" ht="35.05" hidden="false" customHeight="false" outlineLevel="0" collapsed="false">
      <c r="A85" s="3" t="s">
        <v>384</v>
      </c>
      <c r="B85" s="3" t="s">
        <v>385</v>
      </c>
      <c r="C85" s="3" t="s">
        <v>147</v>
      </c>
      <c r="D85" s="10" t="s">
        <v>65</v>
      </c>
      <c r="E85" s="4" t="s">
        <v>386</v>
      </c>
      <c r="F85" s="3" t="s">
        <v>149</v>
      </c>
      <c r="G85" s="8"/>
    </row>
    <row r="86" customFormat="false" ht="23.85" hidden="false" customHeight="false" outlineLevel="0" collapsed="false">
      <c r="A86" s="3" t="s">
        <v>387</v>
      </c>
      <c r="B86" s="3" t="s">
        <v>388</v>
      </c>
      <c r="C86" s="3" t="s">
        <v>147</v>
      </c>
      <c r="D86" s="10" t="s">
        <v>65</v>
      </c>
      <c r="E86" s="4" t="s">
        <v>389</v>
      </c>
      <c r="F86" s="3" t="s">
        <v>149</v>
      </c>
      <c r="G86" s="8"/>
    </row>
    <row r="87" customFormat="false" ht="35.05" hidden="false" customHeight="false" outlineLevel="0" collapsed="false">
      <c r="A87" s="3" t="s">
        <v>390</v>
      </c>
      <c r="B87" s="3" t="s">
        <v>391</v>
      </c>
      <c r="C87" s="3" t="s">
        <v>147</v>
      </c>
      <c r="D87" s="10" t="s">
        <v>65</v>
      </c>
      <c r="E87" s="4" t="s">
        <v>392</v>
      </c>
      <c r="F87" s="3" t="s">
        <v>149</v>
      </c>
      <c r="G87" s="8"/>
    </row>
    <row r="88" customFormat="false" ht="35.05" hidden="false" customHeight="false" outlineLevel="0" collapsed="false">
      <c r="A88" s="3" t="s">
        <v>393</v>
      </c>
      <c r="B88" s="3" t="s">
        <v>394</v>
      </c>
      <c r="C88" s="3" t="s">
        <v>147</v>
      </c>
      <c r="D88" s="10" t="s">
        <v>65</v>
      </c>
      <c r="E88" s="4" t="s">
        <v>395</v>
      </c>
      <c r="F88" s="3" t="s">
        <v>149</v>
      </c>
      <c r="G88" s="8"/>
    </row>
    <row r="89" customFormat="false" ht="35.05" hidden="false" customHeight="false" outlineLevel="0" collapsed="false">
      <c r="A89" s="3" t="s">
        <v>396</v>
      </c>
      <c r="B89" s="3" t="s">
        <v>397</v>
      </c>
      <c r="C89" s="3" t="s">
        <v>147</v>
      </c>
      <c r="D89" s="10" t="s">
        <v>65</v>
      </c>
      <c r="E89" s="4" t="s">
        <v>395</v>
      </c>
      <c r="F89" s="3" t="s">
        <v>149</v>
      </c>
      <c r="G89" s="8"/>
    </row>
    <row r="90" customFormat="false" ht="35.05" hidden="false" customHeight="false" outlineLevel="0" collapsed="false">
      <c r="A90" s="3" t="s">
        <v>398</v>
      </c>
      <c r="B90" s="3" t="s">
        <v>399</v>
      </c>
      <c r="C90" s="3" t="s">
        <v>147</v>
      </c>
      <c r="D90" s="10" t="s">
        <v>65</v>
      </c>
      <c r="E90" s="4" t="s">
        <v>400</v>
      </c>
      <c r="F90" s="3" t="s">
        <v>149</v>
      </c>
      <c r="G90" s="8"/>
    </row>
    <row r="91" customFormat="false" ht="23.85" hidden="false" customHeight="false" outlineLevel="0" collapsed="false">
      <c r="A91" s="3" t="s">
        <v>401</v>
      </c>
      <c r="B91" s="3" t="s">
        <v>402</v>
      </c>
      <c r="C91" s="3" t="s">
        <v>147</v>
      </c>
      <c r="D91" s="10" t="s">
        <v>65</v>
      </c>
      <c r="E91" s="4" t="s">
        <v>403</v>
      </c>
      <c r="F91" s="3" t="s">
        <v>149</v>
      </c>
      <c r="G91" s="8"/>
    </row>
    <row r="92" customFormat="false" ht="23.85" hidden="false" customHeight="false" outlineLevel="0" collapsed="false">
      <c r="A92" s="3" t="s">
        <v>404</v>
      </c>
      <c r="B92" s="3" t="s">
        <v>405</v>
      </c>
      <c r="C92" s="3" t="s">
        <v>147</v>
      </c>
      <c r="D92" s="10" t="s">
        <v>65</v>
      </c>
      <c r="E92" s="4" t="s">
        <v>406</v>
      </c>
      <c r="F92" s="3" t="s">
        <v>149</v>
      </c>
      <c r="G92" s="8"/>
    </row>
    <row r="93" customFormat="false" ht="35.05" hidden="false" customHeight="false" outlineLevel="0" collapsed="false">
      <c r="A93" s="3" t="s">
        <v>407</v>
      </c>
      <c r="B93" s="3" t="s">
        <v>408</v>
      </c>
      <c r="C93" s="3" t="s">
        <v>147</v>
      </c>
      <c r="D93" s="10" t="s">
        <v>65</v>
      </c>
      <c r="E93" s="4" t="s">
        <v>409</v>
      </c>
      <c r="F93" s="3" t="s">
        <v>149</v>
      </c>
      <c r="G93" s="8"/>
    </row>
    <row r="94" customFormat="false" ht="23.85" hidden="false" customHeight="false" outlineLevel="0" collapsed="false">
      <c r="A94" s="3" t="s">
        <v>410</v>
      </c>
      <c r="B94" s="3" t="s">
        <v>411</v>
      </c>
      <c r="C94" s="3" t="s">
        <v>147</v>
      </c>
      <c r="D94" s="10" t="s">
        <v>65</v>
      </c>
      <c r="E94" s="4" t="s">
        <v>412</v>
      </c>
      <c r="F94" s="3" t="s">
        <v>159</v>
      </c>
      <c r="G94" s="8"/>
    </row>
    <row r="95" customFormat="false" ht="35.05" hidden="false" customHeight="false" outlineLevel="0" collapsed="false">
      <c r="A95" s="3" t="s">
        <v>413</v>
      </c>
      <c r="B95" s="3" t="s">
        <v>414</v>
      </c>
      <c r="C95" s="3" t="s">
        <v>147</v>
      </c>
      <c r="D95" s="10" t="s">
        <v>65</v>
      </c>
      <c r="E95" s="4" t="s">
        <v>415</v>
      </c>
      <c r="F95" s="3" t="s">
        <v>149</v>
      </c>
      <c r="G95" s="8"/>
    </row>
    <row r="96" customFormat="false" ht="23.85" hidden="false" customHeight="false" outlineLevel="0" collapsed="false">
      <c r="A96" s="3" t="s">
        <v>416</v>
      </c>
      <c r="B96" s="3" t="s">
        <v>417</v>
      </c>
      <c r="C96" s="3" t="s">
        <v>147</v>
      </c>
      <c r="D96" s="10" t="s">
        <v>65</v>
      </c>
      <c r="E96" s="4" t="s">
        <v>418</v>
      </c>
      <c r="F96" s="3" t="s">
        <v>149</v>
      </c>
      <c r="G96" s="8"/>
    </row>
    <row r="97" customFormat="false" ht="23.85" hidden="false" customHeight="false" outlineLevel="0" collapsed="false">
      <c r="A97" s="3" t="s">
        <v>419</v>
      </c>
      <c r="B97" s="3" t="s">
        <v>420</v>
      </c>
      <c r="C97" s="3" t="s">
        <v>147</v>
      </c>
      <c r="D97" s="10" t="s">
        <v>65</v>
      </c>
      <c r="E97" s="4" t="s">
        <v>421</v>
      </c>
      <c r="F97" s="3" t="s">
        <v>149</v>
      </c>
      <c r="G97" s="8"/>
    </row>
    <row r="98" customFormat="false" ht="35.05" hidden="false" customHeight="false" outlineLevel="0" collapsed="false">
      <c r="A98" s="3" t="s">
        <v>422</v>
      </c>
      <c r="B98" s="3" t="s">
        <v>423</v>
      </c>
      <c r="C98" s="3" t="s">
        <v>147</v>
      </c>
      <c r="D98" s="10" t="s">
        <v>65</v>
      </c>
      <c r="E98" s="4" t="s">
        <v>424</v>
      </c>
      <c r="F98" s="3" t="s">
        <v>149</v>
      </c>
      <c r="G98" s="8"/>
    </row>
    <row r="99" customFormat="false" ht="35.05" hidden="false" customHeight="false" outlineLevel="0" collapsed="false">
      <c r="A99" s="3" t="s">
        <v>425</v>
      </c>
      <c r="B99" s="3" t="s">
        <v>426</v>
      </c>
      <c r="C99" s="3" t="s">
        <v>147</v>
      </c>
      <c r="D99" s="10" t="s">
        <v>65</v>
      </c>
      <c r="E99" s="4" t="s">
        <v>427</v>
      </c>
      <c r="F99" s="3" t="s">
        <v>149</v>
      </c>
      <c r="G99" s="8"/>
    </row>
    <row r="100" customFormat="false" ht="35.05" hidden="false" customHeight="false" outlineLevel="0" collapsed="false">
      <c r="A100" s="3" t="s">
        <v>428</v>
      </c>
      <c r="B100" s="3" t="s">
        <v>429</v>
      </c>
      <c r="C100" s="3" t="s">
        <v>321</v>
      </c>
      <c r="D100" s="10" t="s">
        <v>65</v>
      </c>
      <c r="E100" s="4" t="s">
        <v>430</v>
      </c>
      <c r="F100" s="3" t="s">
        <v>149</v>
      </c>
      <c r="G100" s="8"/>
    </row>
    <row r="101" customFormat="false" ht="35.05" hidden="false" customHeight="false" outlineLevel="0" collapsed="false">
      <c r="A101" s="3" t="s">
        <v>431</v>
      </c>
      <c r="B101" s="3" t="s">
        <v>432</v>
      </c>
      <c r="C101" s="3" t="s">
        <v>321</v>
      </c>
      <c r="D101" s="10" t="s">
        <v>65</v>
      </c>
      <c r="E101" s="4" t="s">
        <v>430</v>
      </c>
      <c r="F101" s="3" t="s">
        <v>159</v>
      </c>
      <c r="G101" s="8"/>
    </row>
    <row r="102" customFormat="false" ht="35.05" hidden="false" customHeight="false" outlineLevel="0" collapsed="false">
      <c r="A102" s="3" t="s">
        <v>433</v>
      </c>
      <c r="B102" s="3" t="s">
        <v>434</v>
      </c>
      <c r="C102" s="3" t="s">
        <v>321</v>
      </c>
      <c r="D102" s="10" t="s">
        <v>65</v>
      </c>
      <c r="E102" s="4" t="s">
        <v>435</v>
      </c>
      <c r="F102" s="3" t="s">
        <v>159</v>
      </c>
      <c r="G102" s="8"/>
    </row>
    <row r="103" customFormat="false" ht="35.05" hidden="false" customHeight="false" outlineLevel="0" collapsed="false">
      <c r="A103" s="3" t="s">
        <v>436</v>
      </c>
      <c r="B103" s="3" t="s">
        <v>437</v>
      </c>
      <c r="C103" s="3" t="s">
        <v>321</v>
      </c>
      <c r="D103" s="10" t="s">
        <v>65</v>
      </c>
      <c r="E103" s="4" t="s">
        <v>438</v>
      </c>
      <c r="F103" s="3" t="s">
        <v>149</v>
      </c>
      <c r="G103" s="8"/>
    </row>
    <row r="104" customFormat="false" ht="35.05" hidden="false" customHeight="false" outlineLevel="0" collapsed="false">
      <c r="A104" s="3" t="s">
        <v>439</v>
      </c>
      <c r="B104" s="3" t="s">
        <v>440</v>
      </c>
      <c r="C104" s="3" t="s">
        <v>321</v>
      </c>
      <c r="D104" s="10" t="s">
        <v>65</v>
      </c>
      <c r="E104" s="4" t="s">
        <v>441</v>
      </c>
      <c r="F104" s="3" t="s">
        <v>159</v>
      </c>
      <c r="G104" s="8"/>
    </row>
    <row r="105" customFormat="false" ht="35.05" hidden="false" customHeight="false" outlineLevel="0" collapsed="false">
      <c r="A105" s="3" t="s">
        <v>442</v>
      </c>
      <c r="B105" s="3" t="s">
        <v>443</v>
      </c>
      <c r="C105" s="3" t="s">
        <v>321</v>
      </c>
      <c r="D105" s="10" t="s">
        <v>65</v>
      </c>
      <c r="E105" s="4" t="s">
        <v>444</v>
      </c>
      <c r="F105" s="3" t="s">
        <v>149</v>
      </c>
      <c r="G105" s="8"/>
    </row>
    <row r="106" customFormat="false" ht="35.05" hidden="false" customHeight="false" outlineLevel="0" collapsed="false">
      <c r="A106" s="3" t="s">
        <v>445</v>
      </c>
      <c r="B106" s="3" t="s">
        <v>446</v>
      </c>
      <c r="C106" s="3" t="s">
        <v>321</v>
      </c>
      <c r="D106" s="10" t="s">
        <v>65</v>
      </c>
      <c r="E106" s="4" t="s">
        <v>447</v>
      </c>
      <c r="F106" s="3" t="s">
        <v>159</v>
      </c>
      <c r="G106" s="8"/>
    </row>
    <row r="107" customFormat="false" ht="35.05" hidden="false" customHeight="false" outlineLevel="0" collapsed="false">
      <c r="A107" s="3" t="s">
        <v>448</v>
      </c>
      <c r="B107" s="3" t="s">
        <v>449</v>
      </c>
      <c r="C107" s="3" t="s">
        <v>321</v>
      </c>
      <c r="D107" s="10" t="s">
        <v>65</v>
      </c>
      <c r="E107" s="4" t="s">
        <v>450</v>
      </c>
      <c r="F107" s="3" t="s">
        <v>149</v>
      </c>
      <c r="G107" s="8"/>
    </row>
    <row r="108" customFormat="false" ht="35.05" hidden="false" customHeight="false" outlineLevel="0" collapsed="false">
      <c r="A108" s="3" t="s">
        <v>451</v>
      </c>
      <c r="B108" s="3" t="s">
        <v>434</v>
      </c>
      <c r="C108" s="3" t="s">
        <v>452</v>
      </c>
      <c r="D108" s="10" t="s">
        <v>65</v>
      </c>
      <c r="E108" s="4" t="s">
        <v>435</v>
      </c>
      <c r="F108" s="3" t="s">
        <v>453</v>
      </c>
      <c r="G108" s="8"/>
    </row>
    <row r="109" customFormat="false" ht="35.05" hidden="false" customHeight="false" outlineLevel="0" collapsed="false">
      <c r="A109" s="3" t="s">
        <v>454</v>
      </c>
      <c r="B109" s="3" t="s">
        <v>440</v>
      </c>
      <c r="C109" s="3" t="s">
        <v>452</v>
      </c>
      <c r="D109" s="10" t="s">
        <v>65</v>
      </c>
      <c r="E109" s="4" t="s">
        <v>441</v>
      </c>
      <c r="F109" s="3" t="s">
        <v>453</v>
      </c>
      <c r="G109" s="8"/>
    </row>
    <row r="110" customFormat="false" ht="35.05" hidden="false" customHeight="false" outlineLevel="0" collapsed="false">
      <c r="A110" s="3" t="s">
        <v>455</v>
      </c>
      <c r="B110" s="3" t="s">
        <v>440</v>
      </c>
      <c r="C110" s="3" t="s">
        <v>452</v>
      </c>
      <c r="D110" s="10" t="s">
        <v>65</v>
      </c>
      <c r="E110" s="4" t="s">
        <v>441</v>
      </c>
      <c r="F110" s="3" t="s">
        <v>453</v>
      </c>
      <c r="G110" s="8"/>
    </row>
    <row r="111" customFormat="false" ht="35.05" hidden="false" customHeight="false" outlineLevel="0" collapsed="false">
      <c r="A111" s="3" t="s">
        <v>456</v>
      </c>
      <c r="B111" s="3" t="s">
        <v>440</v>
      </c>
      <c r="C111" s="3" t="s">
        <v>452</v>
      </c>
      <c r="D111" s="10" t="s">
        <v>65</v>
      </c>
      <c r="E111" s="4" t="s">
        <v>441</v>
      </c>
      <c r="F111" s="3" t="s">
        <v>453</v>
      </c>
      <c r="G111" s="8"/>
    </row>
    <row r="112" customFormat="false" ht="23.85" hidden="false" customHeight="false" outlineLevel="0" collapsed="false">
      <c r="A112" s="3" t="s">
        <v>90</v>
      </c>
      <c r="B112" s="3" t="s">
        <v>85</v>
      </c>
      <c r="C112" s="3" t="s">
        <v>341</v>
      </c>
      <c r="D112" s="10" t="s">
        <v>65</v>
      </c>
      <c r="E112" s="4" t="s">
        <v>93</v>
      </c>
      <c r="F112" s="3" t="s">
        <v>91</v>
      </c>
      <c r="G112" s="8"/>
    </row>
    <row r="113" customFormat="false" ht="23.85" hidden="false" customHeight="false" outlineLevel="0" collapsed="false">
      <c r="A113" s="3" t="s">
        <v>95</v>
      </c>
      <c r="B113" s="3" t="s">
        <v>94</v>
      </c>
      <c r="C113" s="3" t="s">
        <v>341</v>
      </c>
      <c r="D113" s="10" t="s">
        <v>65</v>
      </c>
      <c r="E113" s="4" t="s">
        <v>97</v>
      </c>
      <c r="F113" s="3" t="s">
        <v>96</v>
      </c>
      <c r="G113" s="8"/>
    </row>
    <row r="114" customFormat="false" ht="23.85" hidden="false" customHeight="false" outlineLevel="0" collapsed="false">
      <c r="A114" s="3" t="s">
        <v>457</v>
      </c>
      <c r="B114" s="3" t="s">
        <v>458</v>
      </c>
      <c r="C114" s="3" t="s">
        <v>321</v>
      </c>
      <c r="D114" s="11" t="s">
        <v>105</v>
      </c>
      <c r="E114" s="4" t="s">
        <v>459</v>
      </c>
      <c r="F114" s="3" t="s">
        <v>149</v>
      </c>
      <c r="G114" s="8"/>
    </row>
    <row r="115" customFormat="false" ht="23.85" hidden="false" customHeight="false" outlineLevel="0" collapsed="false">
      <c r="A115" s="3" t="s">
        <v>460</v>
      </c>
      <c r="B115" s="3" t="s">
        <v>461</v>
      </c>
      <c r="C115" s="3" t="s">
        <v>321</v>
      </c>
      <c r="D115" s="11" t="s">
        <v>105</v>
      </c>
      <c r="E115" s="4" t="s">
        <v>459</v>
      </c>
      <c r="F115" s="3" t="s">
        <v>149</v>
      </c>
      <c r="G115" s="8"/>
    </row>
    <row r="116" customFormat="false" ht="23.85" hidden="false" customHeight="false" outlineLevel="0" collapsed="false">
      <c r="A116" s="3" t="s">
        <v>462</v>
      </c>
      <c r="B116" s="3" t="s">
        <v>463</v>
      </c>
      <c r="C116" s="3" t="s">
        <v>321</v>
      </c>
      <c r="D116" s="11" t="s">
        <v>105</v>
      </c>
      <c r="E116" s="4" t="s">
        <v>459</v>
      </c>
      <c r="F116" s="3" t="s">
        <v>149</v>
      </c>
      <c r="G116" s="8"/>
    </row>
    <row r="117" customFormat="false" ht="23.85" hidden="false" customHeight="false" outlineLevel="0" collapsed="false">
      <c r="A117" s="3" t="s">
        <v>464</v>
      </c>
      <c r="B117" s="3" t="s">
        <v>465</v>
      </c>
      <c r="C117" s="3" t="s">
        <v>321</v>
      </c>
      <c r="D117" s="11" t="s">
        <v>105</v>
      </c>
      <c r="E117" s="4" t="s">
        <v>459</v>
      </c>
      <c r="F117" s="3" t="s">
        <v>149</v>
      </c>
      <c r="G117" s="8"/>
    </row>
    <row r="118" customFormat="false" ht="23.85" hidden="false" customHeight="false" outlineLevel="0" collapsed="false">
      <c r="A118" s="3" t="s">
        <v>466</v>
      </c>
      <c r="B118" s="3" t="s">
        <v>467</v>
      </c>
      <c r="C118" s="3" t="s">
        <v>321</v>
      </c>
      <c r="D118" s="11" t="s">
        <v>105</v>
      </c>
      <c r="E118" s="4" t="s">
        <v>459</v>
      </c>
      <c r="F118" s="3" t="s">
        <v>149</v>
      </c>
      <c r="G118" s="8"/>
    </row>
    <row r="119" customFormat="false" ht="23.85" hidden="false" customHeight="false" outlineLevel="0" collapsed="false">
      <c r="A119" s="3" t="s">
        <v>468</v>
      </c>
      <c r="B119" s="3" t="s">
        <v>469</v>
      </c>
      <c r="C119" s="3" t="s">
        <v>321</v>
      </c>
      <c r="D119" s="11" t="s">
        <v>105</v>
      </c>
      <c r="E119" s="4" t="s">
        <v>459</v>
      </c>
      <c r="F119" s="3" t="s">
        <v>149</v>
      </c>
      <c r="G119" s="8"/>
    </row>
    <row r="120" customFormat="false" ht="23.85" hidden="false" customHeight="false" outlineLevel="0" collapsed="false">
      <c r="A120" s="3" t="s">
        <v>470</v>
      </c>
      <c r="B120" s="3" t="s">
        <v>471</v>
      </c>
      <c r="C120" s="3" t="s">
        <v>321</v>
      </c>
      <c r="D120" s="11" t="s">
        <v>105</v>
      </c>
      <c r="E120" s="4" t="s">
        <v>459</v>
      </c>
      <c r="F120" s="3" t="s">
        <v>149</v>
      </c>
      <c r="G120" s="8"/>
    </row>
    <row r="121" customFormat="false" ht="23.85" hidden="false" customHeight="false" outlineLevel="0" collapsed="false">
      <c r="A121" s="3" t="s">
        <v>472</v>
      </c>
      <c r="B121" s="3" t="s">
        <v>473</v>
      </c>
      <c r="C121" s="3" t="s">
        <v>321</v>
      </c>
      <c r="D121" s="11" t="s">
        <v>105</v>
      </c>
      <c r="E121" s="4" t="s">
        <v>459</v>
      </c>
      <c r="F121" s="3" t="s">
        <v>149</v>
      </c>
      <c r="G121" s="8"/>
    </row>
    <row r="122" customFormat="false" ht="23.85" hidden="false" customHeight="false" outlineLevel="0" collapsed="false">
      <c r="A122" s="3" t="s">
        <v>474</v>
      </c>
      <c r="B122" s="3" t="s">
        <v>475</v>
      </c>
      <c r="C122" s="3" t="s">
        <v>321</v>
      </c>
      <c r="D122" s="11" t="s">
        <v>105</v>
      </c>
      <c r="E122" s="4" t="s">
        <v>459</v>
      </c>
      <c r="F122" s="3" t="s">
        <v>149</v>
      </c>
      <c r="G122" s="8"/>
    </row>
    <row r="123" customFormat="false" ht="23.85" hidden="false" customHeight="false" outlineLevel="0" collapsed="false">
      <c r="A123" s="3" t="s">
        <v>476</v>
      </c>
      <c r="B123" s="3" t="s">
        <v>477</v>
      </c>
      <c r="C123" s="3" t="s">
        <v>321</v>
      </c>
      <c r="D123" s="11" t="s">
        <v>105</v>
      </c>
      <c r="E123" s="4" t="s">
        <v>459</v>
      </c>
      <c r="F123" s="3" t="s">
        <v>149</v>
      </c>
      <c r="G123" s="8"/>
    </row>
    <row r="124" customFormat="false" ht="23.85" hidden="false" customHeight="false" outlineLevel="0" collapsed="false">
      <c r="A124" s="3" t="s">
        <v>478</v>
      </c>
      <c r="B124" s="3" t="s">
        <v>479</v>
      </c>
      <c r="C124" s="3" t="s">
        <v>321</v>
      </c>
      <c r="D124" s="11" t="s">
        <v>105</v>
      </c>
      <c r="E124" s="4" t="s">
        <v>459</v>
      </c>
      <c r="F124" s="3" t="s">
        <v>149</v>
      </c>
      <c r="G124" s="8"/>
    </row>
    <row r="125" customFormat="false" ht="23.85" hidden="false" customHeight="false" outlineLevel="0" collapsed="false">
      <c r="A125" s="3" t="s">
        <v>480</v>
      </c>
      <c r="B125" s="3" t="s">
        <v>481</v>
      </c>
      <c r="C125" s="3" t="s">
        <v>321</v>
      </c>
      <c r="D125" s="11" t="s">
        <v>105</v>
      </c>
      <c r="E125" s="4" t="s">
        <v>459</v>
      </c>
      <c r="F125" s="3" t="s">
        <v>149</v>
      </c>
      <c r="G125" s="8"/>
    </row>
    <row r="126" customFormat="false" ht="23.85" hidden="false" customHeight="false" outlineLevel="0" collapsed="false">
      <c r="A126" s="3" t="s">
        <v>482</v>
      </c>
      <c r="B126" s="3" t="s">
        <v>483</v>
      </c>
      <c r="C126" s="3" t="s">
        <v>321</v>
      </c>
      <c r="D126" s="11" t="s">
        <v>105</v>
      </c>
      <c r="E126" s="4" t="s">
        <v>484</v>
      </c>
      <c r="F126" s="3" t="s">
        <v>149</v>
      </c>
      <c r="G126" s="8"/>
    </row>
    <row r="127" customFormat="false" ht="23.85" hidden="false" customHeight="false" outlineLevel="0" collapsed="false">
      <c r="A127" s="3" t="s">
        <v>485</v>
      </c>
      <c r="B127" s="3" t="s">
        <v>73</v>
      </c>
      <c r="C127" s="3" t="s">
        <v>321</v>
      </c>
      <c r="D127" s="11" t="s">
        <v>105</v>
      </c>
      <c r="E127" s="4" t="s">
        <v>484</v>
      </c>
      <c r="F127" s="3" t="s">
        <v>149</v>
      </c>
      <c r="G127" s="8"/>
    </row>
    <row r="128" customFormat="false" ht="23.85" hidden="false" customHeight="false" outlineLevel="0" collapsed="false">
      <c r="A128" s="3" t="s">
        <v>108</v>
      </c>
      <c r="B128" s="3" t="s">
        <v>106</v>
      </c>
      <c r="C128" s="3" t="s">
        <v>341</v>
      </c>
      <c r="D128" s="11" t="s">
        <v>105</v>
      </c>
      <c r="E128" s="4" t="s">
        <v>110</v>
      </c>
      <c r="F128" s="3" t="s">
        <v>109</v>
      </c>
      <c r="G128" s="8"/>
    </row>
    <row r="129" customFormat="false" ht="23.85" hidden="false" customHeight="false" outlineLevel="0" collapsed="false">
      <c r="A129" s="3" t="s">
        <v>119</v>
      </c>
      <c r="B129" s="3" t="s">
        <v>115</v>
      </c>
      <c r="C129" s="3" t="s">
        <v>341</v>
      </c>
      <c r="D129" s="11" t="s">
        <v>105</v>
      </c>
      <c r="E129" s="4" t="s">
        <v>121</v>
      </c>
      <c r="F129" s="3" t="s">
        <v>120</v>
      </c>
      <c r="G129" s="8"/>
    </row>
    <row r="130" customFormat="false" ht="23.85" hidden="false" customHeight="false" outlineLevel="0" collapsed="false">
      <c r="A130" s="3" t="s">
        <v>125</v>
      </c>
      <c r="B130" s="3" t="s">
        <v>124</v>
      </c>
      <c r="C130" s="3" t="s">
        <v>341</v>
      </c>
      <c r="D130" s="11" t="s">
        <v>105</v>
      </c>
      <c r="E130" s="4" t="s">
        <v>126</v>
      </c>
      <c r="F130" s="3" t="s">
        <v>96</v>
      </c>
      <c r="G130" s="8"/>
    </row>
    <row r="131" customFormat="false" ht="23.85" hidden="false" customHeight="false" outlineLevel="0" collapsed="false">
      <c r="A131" s="3" t="s">
        <v>140</v>
      </c>
      <c r="B131" s="3" t="s">
        <v>139</v>
      </c>
      <c r="C131" s="3" t="s">
        <v>341</v>
      </c>
      <c r="D131" s="11" t="s">
        <v>105</v>
      </c>
      <c r="E131" s="4" t="s">
        <v>141</v>
      </c>
      <c r="F131" s="3" t="s">
        <v>96</v>
      </c>
      <c r="G131"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8"/>
    <col collapsed="false" customWidth="true" hidden="false" outlineLevel="0" max="3" min="3" style="0" width="34"/>
    <col collapsed="false" customWidth="true" hidden="false" outlineLevel="0" max="4" min="4" style="0" width="20"/>
    <col collapsed="false" customWidth="true" hidden="false" outlineLevel="0" max="5" min="5" style="0" width="14"/>
    <col collapsed="false" customWidth="true" hidden="false" outlineLevel="0" max="6" min="6" style="0" width="12"/>
    <col collapsed="false" customWidth="true" hidden="false" outlineLevel="0" max="7" min="7" style="0" width="70"/>
    <col collapsed="false" customWidth="true" hidden="false" outlineLevel="0" max="8" min="8" style="0" width="24"/>
    <col collapsed="false" customWidth="true" hidden="false" outlineLevel="0" max="9" min="9" style="0" width="45"/>
    <col collapsed="false" customWidth="true" hidden="false" outlineLevel="0" max="10" min="10" style="0" width="30"/>
    <col collapsed="false" customWidth="true" hidden="false" outlineLevel="0" max="11" min="11" style="0" width="24"/>
    <col collapsed="false" customWidth="true" hidden="false" outlineLevel="0" max="12" min="12" style="0" width="22"/>
    <col collapsed="false" customWidth="true" hidden="false" outlineLevel="0" max="14" min="13" style="0" width="14"/>
    <col collapsed="false" customWidth="true" hidden="false" outlineLevel="0" max="15" min="15" style="0" width="13"/>
  </cols>
  <sheetData>
    <row r="1" customFormat="false" ht="23.85" hidden="false" customHeight="false" outlineLevel="0" collapsed="false">
      <c r="A1" s="13" t="s">
        <v>0</v>
      </c>
      <c r="B1" s="13" t="s">
        <v>14</v>
      </c>
      <c r="C1" s="1" t="s">
        <v>486</v>
      </c>
      <c r="D1" s="1" t="s">
        <v>4</v>
      </c>
      <c r="E1" s="1" t="s">
        <v>487</v>
      </c>
      <c r="F1" s="1" t="s">
        <v>488</v>
      </c>
      <c r="G1" s="1" t="s">
        <v>489</v>
      </c>
      <c r="H1" s="1" t="s">
        <v>490</v>
      </c>
      <c r="I1" s="1" t="s">
        <v>491</v>
      </c>
      <c r="J1" s="1" t="s">
        <v>492</v>
      </c>
      <c r="K1" s="1" t="s">
        <v>493</v>
      </c>
      <c r="L1" s="1" t="s">
        <v>494</v>
      </c>
      <c r="M1" s="1" t="s">
        <v>495</v>
      </c>
      <c r="N1" s="1" t="s">
        <v>496</v>
      </c>
      <c r="O1" s="1" t="s">
        <v>12</v>
      </c>
      <c r="P1" s="1" t="s">
        <v>15</v>
      </c>
      <c r="Q1" s="1" t="s">
        <v>497</v>
      </c>
    </row>
    <row r="2" customFormat="false" ht="57.45" hidden="false" customHeight="false" outlineLevel="0" collapsed="false">
      <c r="A2" s="14" t="s">
        <v>17</v>
      </c>
      <c r="B2" s="4" t="s">
        <v>498</v>
      </c>
      <c r="C2" s="2" t="n">
        <v>1</v>
      </c>
      <c r="D2" s="3" t="s">
        <v>499</v>
      </c>
      <c r="E2" s="3" t="s">
        <v>500</v>
      </c>
      <c r="F2" s="3" t="s">
        <v>501</v>
      </c>
      <c r="G2" s="3" t="s">
        <v>502</v>
      </c>
      <c r="H2" s="5" t="n">
        <v>46303</v>
      </c>
      <c r="I2" s="4" t="s">
        <v>503</v>
      </c>
      <c r="J2" s="3" t="s">
        <v>504</v>
      </c>
      <c r="K2" s="4" t="s">
        <v>505</v>
      </c>
      <c r="L2" s="3"/>
      <c r="M2" s="3"/>
      <c r="N2" s="3"/>
      <c r="O2" s="3"/>
      <c r="P2" s="8" t="s">
        <v>27</v>
      </c>
      <c r="Q2" s="3"/>
    </row>
    <row r="3" customFormat="false" ht="57.45" hidden="false" customHeight="false" outlineLevel="0" collapsed="false">
      <c r="A3" s="14" t="s">
        <v>17</v>
      </c>
      <c r="B3" s="4" t="s">
        <v>322</v>
      </c>
      <c r="C3" s="2" t="n">
        <v>1</v>
      </c>
      <c r="D3" s="3" t="s">
        <v>320</v>
      </c>
      <c r="E3" s="3" t="s">
        <v>500</v>
      </c>
      <c r="F3" s="3" t="s">
        <v>506</v>
      </c>
      <c r="G3" s="3"/>
      <c r="H3" s="5" t="n">
        <v>46288</v>
      </c>
      <c r="I3" s="4" t="s">
        <v>507</v>
      </c>
      <c r="J3" s="3" t="s">
        <v>504</v>
      </c>
      <c r="K3" s="4" t="s">
        <v>508</v>
      </c>
      <c r="L3" s="3" t="s">
        <v>319</v>
      </c>
      <c r="M3" s="3" t="s">
        <v>509</v>
      </c>
      <c r="N3" s="3" t="s">
        <v>510</v>
      </c>
      <c r="O3" s="3" t="s">
        <v>511</v>
      </c>
      <c r="P3" s="8" t="s">
        <v>27</v>
      </c>
      <c r="Q3" s="3"/>
    </row>
    <row r="4" customFormat="false" ht="91" hidden="false" customHeight="false" outlineLevel="0" collapsed="false">
      <c r="A4" s="14" t="s">
        <v>17</v>
      </c>
      <c r="B4" s="4" t="s">
        <v>325</v>
      </c>
      <c r="C4" s="2" t="n">
        <v>1</v>
      </c>
      <c r="D4" s="3" t="s">
        <v>324</v>
      </c>
      <c r="E4" s="3" t="s">
        <v>500</v>
      </c>
      <c r="F4" s="3" t="s">
        <v>506</v>
      </c>
      <c r="G4" s="3" t="s">
        <v>512</v>
      </c>
      <c r="H4" s="5" t="n">
        <v>46286</v>
      </c>
      <c r="I4" s="4" t="s">
        <v>513</v>
      </c>
      <c r="J4" s="3" t="s">
        <v>504</v>
      </c>
      <c r="K4" s="4" t="s">
        <v>514</v>
      </c>
      <c r="L4" s="3" t="s">
        <v>323</v>
      </c>
      <c r="M4" s="3" t="s">
        <v>515</v>
      </c>
      <c r="N4" s="3" t="s">
        <v>516</v>
      </c>
      <c r="O4" s="3" t="s">
        <v>517</v>
      </c>
      <c r="P4" s="8" t="s">
        <v>27</v>
      </c>
      <c r="Q4" s="3"/>
    </row>
    <row r="5" customFormat="false" ht="91" hidden="false" customHeight="false" outlineLevel="0" collapsed="false">
      <c r="A5" s="14" t="s">
        <v>17</v>
      </c>
      <c r="B5" s="4" t="s">
        <v>328</v>
      </c>
      <c r="C5" s="2" t="n">
        <v>1</v>
      </c>
      <c r="D5" s="3" t="s">
        <v>327</v>
      </c>
      <c r="E5" s="3" t="s">
        <v>518</v>
      </c>
      <c r="F5" s="3" t="s">
        <v>501</v>
      </c>
      <c r="G5" s="3" t="s">
        <v>519</v>
      </c>
      <c r="H5" s="5" t="n">
        <v>46269</v>
      </c>
      <c r="I5" s="4" t="s">
        <v>520</v>
      </c>
      <c r="J5" s="3" t="s">
        <v>521</v>
      </c>
      <c r="K5" s="4" t="s">
        <v>522</v>
      </c>
      <c r="L5" s="3" t="s">
        <v>326</v>
      </c>
      <c r="M5" s="3" t="s">
        <v>509</v>
      </c>
      <c r="N5" s="3" t="s">
        <v>523</v>
      </c>
      <c r="O5" s="3" t="s">
        <v>524</v>
      </c>
      <c r="P5" s="8" t="s">
        <v>27</v>
      </c>
      <c r="Q5" s="3"/>
    </row>
    <row r="6" customFormat="false" ht="113.4" hidden="false" customHeight="false" outlineLevel="0" collapsed="false">
      <c r="A6" s="14" t="s">
        <v>17</v>
      </c>
      <c r="B6" s="4" t="s">
        <v>331</v>
      </c>
      <c r="C6" s="2" t="n">
        <v>1</v>
      </c>
      <c r="D6" s="3" t="s">
        <v>330</v>
      </c>
      <c r="E6" s="3" t="s">
        <v>500</v>
      </c>
      <c r="F6" s="3" t="s">
        <v>506</v>
      </c>
      <c r="G6" s="3" t="s">
        <v>525</v>
      </c>
      <c r="H6" s="5" t="n">
        <v>46267</v>
      </c>
      <c r="I6" s="4" t="s">
        <v>526</v>
      </c>
      <c r="J6" s="3" t="s">
        <v>504</v>
      </c>
      <c r="K6" s="4" t="s">
        <v>527</v>
      </c>
      <c r="L6" s="3" t="s">
        <v>329</v>
      </c>
      <c r="M6" s="3" t="s">
        <v>509</v>
      </c>
      <c r="N6" s="3" t="s">
        <v>528</v>
      </c>
      <c r="O6" s="3" t="s">
        <v>529</v>
      </c>
      <c r="P6" s="8" t="s">
        <v>27</v>
      </c>
      <c r="Q6" s="3"/>
    </row>
    <row r="7" customFormat="false" ht="113.4" hidden="false" customHeight="false" outlineLevel="0" collapsed="false">
      <c r="A7" s="14" t="s">
        <v>17</v>
      </c>
      <c r="B7" s="4" t="s">
        <v>530</v>
      </c>
      <c r="C7" s="2" t="n">
        <v>1</v>
      </c>
      <c r="D7" s="3" t="s">
        <v>330</v>
      </c>
      <c r="E7" s="3" t="s">
        <v>500</v>
      </c>
      <c r="F7" s="3" t="s">
        <v>506</v>
      </c>
      <c r="G7" s="3" t="s">
        <v>531</v>
      </c>
      <c r="H7" s="5" t="n">
        <v>46261</v>
      </c>
      <c r="I7" s="4" t="s">
        <v>532</v>
      </c>
      <c r="J7" s="3" t="s">
        <v>504</v>
      </c>
      <c r="K7" s="4" t="s">
        <v>527</v>
      </c>
      <c r="L7" s="3" t="s">
        <v>329</v>
      </c>
      <c r="M7" s="3" t="s">
        <v>509</v>
      </c>
      <c r="N7" s="3" t="s">
        <v>528</v>
      </c>
      <c r="O7" s="3" t="s">
        <v>529</v>
      </c>
      <c r="P7" s="8" t="s">
        <v>27</v>
      </c>
      <c r="Q7" s="3"/>
    </row>
    <row r="8" customFormat="false" ht="46.25" hidden="false" customHeight="false" outlineLevel="0" collapsed="false">
      <c r="A8" s="14" t="s">
        <v>17</v>
      </c>
      <c r="B8" s="4" t="s">
        <v>334</v>
      </c>
      <c r="C8" s="2" t="n">
        <v>1</v>
      </c>
      <c r="D8" s="3" t="s">
        <v>333</v>
      </c>
      <c r="E8" s="3" t="s">
        <v>500</v>
      </c>
      <c r="F8" s="3" t="s">
        <v>506</v>
      </c>
      <c r="G8" s="3"/>
      <c r="H8" s="5" t="n">
        <v>46253</v>
      </c>
      <c r="I8" s="4" t="s">
        <v>533</v>
      </c>
      <c r="J8" s="3" t="s">
        <v>504</v>
      </c>
      <c r="K8" s="4"/>
      <c r="L8" s="3" t="s">
        <v>332</v>
      </c>
      <c r="M8" s="3" t="s">
        <v>509</v>
      </c>
      <c r="N8" s="3"/>
      <c r="O8" s="3" t="s">
        <v>534</v>
      </c>
      <c r="P8" s="8" t="s">
        <v>27</v>
      </c>
      <c r="Q8" s="3"/>
    </row>
    <row r="9" customFormat="false" ht="91" hidden="false" customHeight="false" outlineLevel="0" collapsed="false">
      <c r="A9" s="14" t="s">
        <v>17</v>
      </c>
      <c r="B9" s="4" t="s">
        <v>337</v>
      </c>
      <c r="C9" s="2" t="n">
        <v>1</v>
      </c>
      <c r="D9" s="3" t="s">
        <v>336</v>
      </c>
      <c r="E9" s="3" t="s">
        <v>518</v>
      </c>
      <c r="F9" s="3" t="s">
        <v>506</v>
      </c>
      <c r="G9" s="3" t="s">
        <v>535</v>
      </c>
      <c r="H9" s="5" t="n">
        <v>46232</v>
      </c>
      <c r="I9" s="4" t="s">
        <v>536</v>
      </c>
      <c r="J9" s="3" t="s">
        <v>521</v>
      </c>
      <c r="K9" s="4"/>
      <c r="L9" s="3" t="s">
        <v>335</v>
      </c>
      <c r="M9" s="3" t="s">
        <v>509</v>
      </c>
      <c r="N9" s="3" t="s">
        <v>537</v>
      </c>
      <c r="O9" s="3" t="s">
        <v>538</v>
      </c>
      <c r="P9" s="8" t="s">
        <v>27</v>
      </c>
      <c r="Q9" s="3"/>
    </row>
    <row r="10" customFormat="false" ht="102.2" hidden="false" customHeight="false" outlineLevel="0" collapsed="false">
      <c r="A10" s="14" t="s">
        <v>17</v>
      </c>
      <c r="B10" s="4" t="s">
        <v>340</v>
      </c>
      <c r="C10" s="2" t="n">
        <v>1</v>
      </c>
      <c r="D10" s="3" t="s">
        <v>339</v>
      </c>
      <c r="E10" s="3" t="s">
        <v>500</v>
      </c>
      <c r="F10" s="3" t="s">
        <v>539</v>
      </c>
      <c r="G10" s="3" t="s">
        <v>540</v>
      </c>
      <c r="H10" s="5" t="n">
        <v>46204</v>
      </c>
      <c r="I10" s="4" t="s">
        <v>541</v>
      </c>
      <c r="J10" s="3" t="s">
        <v>504</v>
      </c>
      <c r="K10" s="4"/>
      <c r="L10" s="3" t="s">
        <v>338</v>
      </c>
      <c r="M10" s="3" t="s">
        <v>509</v>
      </c>
      <c r="N10" s="3" t="s">
        <v>542</v>
      </c>
      <c r="O10" s="3" t="s">
        <v>543</v>
      </c>
      <c r="P10" s="8" t="s">
        <v>27</v>
      </c>
      <c r="Q10" s="3"/>
    </row>
    <row r="11" customFormat="false" ht="35.05" hidden="false" customHeight="false" outlineLevel="0" collapsed="false">
      <c r="A11" s="14" t="s">
        <v>17</v>
      </c>
      <c r="B11" s="4" t="s">
        <v>544</v>
      </c>
      <c r="C11" s="2" t="n">
        <v>1</v>
      </c>
      <c r="D11" s="3" t="s">
        <v>320</v>
      </c>
      <c r="E11" s="3" t="s">
        <v>500</v>
      </c>
      <c r="F11" s="3" t="s">
        <v>506</v>
      </c>
      <c r="G11" s="3"/>
      <c r="H11" s="5" t="n">
        <v>46195</v>
      </c>
      <c r="I11" s="4" t="s">
        <v>545</v>
      </c>
      <c r="J11" s="3" t="s">
        <v>504</v>
      </c>
      <c r="K11" s="4" t="s">
        <v>508</v>
      </c>
      <c r="L11" s="3" t="s">
        <v>319</v>
      </c>
      <c r="M11" s="3" t="s">
        <v>509</v>
      </c>
      <c r="N11" s="3" t="s">
        <v>510</v>
      </c>
      <c r="O11" s="3" t="s">
        <v>511</v>
      </c>
      <c r="P11" s="8" t="s">
        <v>27</v>
      </c>
      <c r="Q11" s="3"/>
    </row>
    <row r="12" customFormat="false" ht="46.25" hidden="false" customHeight="false" outlineLevel="0" collapsed="false">
      <c r="A12" s="14" t="s">
        <v>17</v>
      </c>
      <c r="B12" s="4" t="s">
        <v>546</v>
      </c>
      <c r="C12" s="2" t="n">
        <v>1</v>
      </c>
      <c r="D12" s="3" t="s">
        <v>320</v>
      </c>
      <c r="E12" s="3" t="s">
        <v>500</v>
      </c>
      <c r="F12" s="3" t="s">
        <v>501</v>
      </c>
      <c r="G12" s="3"/>
      <c r="H12" s="5" t="n">
        <v>46191</v>
      </c>
      <c r="I12" s="4" t="s">
        <v>547</v>
      </c>
      <c r="J12" s="3" t="s">
        <v>504</v>
      </c>
      <c r="K12" s="4" t="s">
        <v>508</v>
      </c>
      <c r="L12" s="3" t="s">
        <v>319</v>
      </c>
      <c r="M12" s="3" t="s">
        <v>509</v>
      </c>
      <c r="N12" s="3" t="s">
        <v>510</v>
      </c>
      <c r="O12" s="3" t="s">
        <v>511</v>
      </c>
      <c r="P12" s="8" t="s">
        <v>27</v>
      </c>
      <c r="Q12" s="3"/>
    </row>
    <row r="13" customFormat="false" ht="46.25" hidden="false" customHeight="false" outlineLevel="0" collapsed="false">
      <c r="A13" s="15" t="s">
        <v>65</v>
      </c>
      <c r="B13" s="4" t="s">
        <v>430</v>
      </c>
      <c r="C13" s="16" t="n">
        <v>2</v>
      </c>
      <c r="D13" s="3" t="s">
        <v>429</v>
      </c>
      <c r="E13" s="3" t="s">
        <v>548</v>
      </c>
      <c r="F13" s="3" t="s">
        <v>506</v>
      </c>
      <c r="G13" s="3"/>
      <c r="H13" s="5" t="n">
        <v>46303</v>
      </c>
      <c r="I13" s="4" t="s">
        <v>549</v>
      </c>
      <c r="J13" s="3" t="s">
        <v>550</v>
      </c>
      <c r="K13" s="4" t="s">
        <v>551</v>
      </c>
      <c r="L13" s="3" t="s">
        <v>428</v>
      </c>
      <c r="M13" s="3" t="s">
        <v>509</v>
      </c>
      <c r="N13" s="3"/>
      <c r="O13" s="3" t="s">
        <v>552</v>
      </c>
      <c r="P13" s="8" t="s">
        <v>27</v>
      </c>
      <c r="Q13" s="3"/>
    </row>
    <row r="14" customFormat="false" ht="35.05" hidden="false" customHeight="false" outlineLevel="0" collapsed="false">
      <c r="A14" s="15" t="s">
        <v>65</v>
      </c>
      <c r="B14" s="4" t="s">
        <v>430</v>
      </c>
      <c r="C14" s="16" t="n">
        <v>2</v>
      </c>
      <c r="D14" s="3" t="s">
        <v>432</v>
      </c>
      <c r="E14" s="3" t="s">
        <v>548</v>
      </c>
      <c r="F14" s="3" t="s">
        <v>506</v>
      </c>
      <c r="G14" s="3"/>
      <c r="H14" s="5" t="n">
        <v>46303</v>
      </c>
      <c r="I14" s="4" t="s">
        <v>553</v>
      </c>
      <c r="J14" s="3" t="s">
        <v>550</v>
      </c>
      <c r="K14" s="4" t="s">
        <v>554</v>
      </c>
      <c r="L14" s="3" t="s">
        <v>431</v>
      </c>
      <c r="M14" s="3" t="s">
        <v>515</v>
      </c>
      <c r="N14" s="3" t="s">
        <v>555</v>
      </c>
      <c r="O14" s="3" t="s">
        <v>556</v>
      </c>
      <c r="P14" s="8" t="s">
        <v>27</v>
      </c>
      <c r="Q14" s="3"/>
    </row>
    <row r="15" customFormat="false" ht="91" hidden="false" customHeight="false" outlineLevel="0" collapsed="false">
      <c r="A15" s="15" t="s">
        <v>65</v>
      </c>
      <c r="B15" s="4" t="s">
        <v>557</v>
      </c>
      <c r="C15" s="16" t="n">
        <v>2</v>
      </c>
      <c r="D15" s="3" t="s">
        <v>429</v>
      </c>
      <c r="E15" s="3" t="s">
        <v>548</v>
      </c>
      <c r="F15" s="3" t="s">
        <v>506</v>
      </c>
      <c r="G15" s="3" t="s">
        <v>558</v>
      </c>
      <c r="H15" s="5" t="n">
        <v>46295</v>
      </c>
      <c r="I15" s="4" t="s">
        <v>559</v>
      </c>
      <c r="J15" s="3" t="s">
        <v>550</v>
      </c>
      <c r="K15" s="4" t="s">
        <v>551</v>
      </c>
      <c r="L15" s="3" t="s">
        <v>428</v>
      </c>
      <c r="M15" s="3" t="s">
        <v>509</v>
      </c>
      <c r="N15" s="3"/>
      <c r="O15" s="3" t="s">
        <v>552</v>
      </c>
      <c r="P15" s="8" t="s">
        <v>27</v>
      </c>
      <c r="Q15" s="3"/>
    </row>
    <row r="16" customFormat="false" ht="57.45" hidden="false" customHeight="false" outlineLevel="0" collapsed="false">
      <c r="A16" s="15" t="s">
        <v>65</v>
      </c>
      <c r="B16" s="4" t="s">
        <v>560</v>
      </c>
      <c r="C16" s="16" t="n">
        <v>2</v>
      </c>
      <c r="D16" s="3" t="s">
        <v>429</v>
      </c>
      <c r="E16" s="3" t="s">
        <v>548</v>
      </c>
      <c r="F16" s="3" t="s">
        <v>561</v>
      </c>
      <c r="G16" s="3"/>
      <c r="H16" s="5" t="n">
        <v>46283</v>
      </c>
      <c r="I16" s="4" t="s">
        <v>562</v>
      </c>
      <c r="J16" s="3" t="s">
        <v>550</v>
      </c>
      <c r="K16" s="4" t="s">
        <v>551</v>
      </c>
      <c r="L16" s="3" t="s">
        <v>428</v>
      </c>
      <c r="M16" s="3" t="s">
        <v>509</v>
      </c>
      <c r="N16" s="3"/>
      <c r="O16" s="3" t="s">
        <v>552</v>
      </c>
      <c r="P16" s="8" t="s">
        <v>27</v>
      </c>
      <c r="Q16" s="3"/>
    </row>
    <row r="17" customFormat="false" ht="57.45" hidden="false" customHeight="false" outlineLevel="0" collapsed="false">
      <c r="A17" s="15" t="s">
        <v>65</v>
      </c>
      <c r="B17" s="4" t="s">
        <v>435</v>
      </c>
      <c r="C17" s="16" t="n">
        <v>2</v>
      </c>
      <c r="D17" s="3" t="s">
        <v>434</v>
      </c>
      <c r="E17" s="3" t="s">
        <v>548</v>
      </c>
      <c r="F17" s="3" t="s">
        <v>506</v>
      </c>
      <c r="G17" s="3"/>
      <c r="H17" s="5" t="n">
        <v>46281</v>
      </c>
      <c r="I17" s="4" t="s">
        <v>563</v>
      </c>
      <c r="J17" s="3" t="s">
        <v>550</v>
      </c>
      <c r="K17" s="4" t="s">
        <v>564</v>
      </c>
      <c r="L17" s="3" t="s">
        <v>433</v>
      </c>
      <c r="M17" s="3" t="s">
        <v>515</v>
      </c>
      <c r="N17" s="3" t="s">
        <v>565</v>
      </c>
      <c r="O17" s="3" t="s">
        <v>566</v>
      </c>
      <c r="P17" s="8" t="s">
        <v>27</v>
      </c>
      <c r="Q17" s="3"/>
    </row>
    <row r="18" customFormat="false" ht="57.45" hidden="false" customHeight="false" outlineLevel="0" collapsed="false">
      <c r="A18" s="15" t="s">
        <v>65</v>
      </c>
      <c r="B18" s="4" t="s">
        <v>438</v>
      </c>
      <c r="C18" s="16" t="n">
        <v>2</v>
      </c>
      <c r="D18" s="3" t="s">
        <v>437</v>
      </c>
      <c r="E18" s="3" t="s">
        <v>548</v>
      </c>
      <c r="F18" s="3" t="s">
        <v>506</v>
      </c>
      <c r="G18" s="3" t="s">
        <v>567</v>
      </c>
      <c r="H18" s="5" t="n">
        <v>46275</v>
      </c>
      <c r="I18" s="4" t="s">
        <v>568</v>
      </c>
      <c r="J18" s="3" t="s">
        <v>550</v>
      </c>
      <c r="K18" s="4" t="s">
        <v>569</v>
      </c>
      <c r="L18" s="3" t="s">
        <v>436</v>
      </c>
      <c r="M18" s="3" t="s">
        <v>509</v>
      </c>
      <c r="N18" s="3" t="s">
        <v>570</v>
      </c>
      <c r="O18" s="3" t="s">
        <v>571</v>
      </c>
      <c r="P18" s="8" t="s">
        <v>27</v>
      </c>
      <c r="Q18" s="3"/>
    </row>
    <row r="19" customFormat="false" ht="91" hidden="false" customHeight="false" outlineLevel="0" collapsed="false">
      <c r="A19" s="15" t="s">
        <v>65</v>
      </c>
      <c r="B19" s="4" t="s">
        <v>572</v>
      </c>
      <c r="C19" s="16" t="n">
        <v>2</v>
      </c>
      <c r="D19" s="3" t="s">
        <v>327</v>
      </c>
      <c r="E19" s="3" t="s">
        <v>548</v>
      </c>
      <c r="F19" s="3" t="s">
        <v>573</v>
      </c>
      <c r="G19" s="3" t="s">
        <v>574</v>
      </c>
      <c r="H19" s="5" t="n">
        <v>46269</v>
      </c>
      <c r="I19" s="4" t="s">
        <v>575</v>
      </c>
      <c r="J19" s="3" t="s">
        <v>550</v>
      </c>
      <c r="K19" s="4" t="s">
        <v>522</v>
      </c>
      <c r="L19" s="3" t="s">
        <v>326</v>
      </c>
      <c r="M19" s="3" t="s">
        <v>509</v>
      </c>
      <c r="N19" s="3" t="s">
        <v>523</v>
      </c>
      <c r="O19" s="3" t="s">
        <v>524</v>
      </c>
      <c r="P19" s="8" t="s">
        <v>27</v>
      </c>
      <c r="Q19" s="3"/>
    </row>
    <row r="20" customFormat="false" ht="102.2" hidden="false" customHeight="false" outlineLevel="0" collapsed="false">
      <c r="A20" s="15" t="s">
        <v>65</v>
      </c>
      <c r="B20" s="4" t="s">
        <v>441</v>
      </c>
      <c r="C20" s="16" t="n">
        <v>2</v>
      </c>
      <c r="D20" s="3" t="s">
        <v>440</v>
      </c>
      <c r="E20" s="3" t="s">
        <v>548</v>
      </c>
      <c r="F20" s="3" t="s">
        <v>539</v>
      </c>
      <c r="G20" s="3" t="s">
        <v>576</v>
      </c>
      <c r="H20" s="5" t="n">
        <v>46268</v>
      </c>
      <c r="I20" s="4" t="s">
        <v>577</v>
      </c>
      <c r="J20" s="3" t="s">
        <v>550</v>
      </c>
      <c r="K20" s="4" t="s">
        <v>578</v>
      </c>
      <c r="L20" s="3" t="s">
        <v>439</v>
      </c>
      <c r="M20" s="3" t="s">
        <v>515</v>
      </c>
      <c r="N20" s="3" t="s">
        <v>579</v>
      </c>
      <c r="O20" s="3" t="s">
        <v>580</v>
      </c>
      <c r="P20" s="8" t="s">
        <v>27</v>
      </c>
      <c r="Q20" s="3"/>
    </row>
    <row r="21" customFormat="false" ht="124.6" hidden="false" customHeight="false" outlineLevel="0" collapsed="false">
      <c r="A21" s="15" t="s">
        <v>65</v>
      </c>
      <c r="B21" s="4" t="s">
        <v>444</v>
      </c>
      <c r="C21" s="16" t="n">
        <v>2</v>
      </c>
      <c r="D21" s="3" t="s">
        <v>443</v>
      </c>
      <c r="E21" s="3" t="s">
        <v>548</v>
      </c>
      <c r="F21" s="3" t="s">
        <v>501</v>
      </c>
      <c r="G21" s="3"/>
      <c r="H21" s="5" t="n">
        <v>46196</v>
      </c>
      <c r="I21" s="4" t="s">
        <v>581</v>
      </c>
      <c r="J21" s="3" t="s">
        <v>550</v>
      </c>
      <c r="K21" s="4"/>
      <c r="L21" s="3" t="s">
        <v>442</v>
      </c>
      <c r="M21" s="3" t="s">
        <v>509</v>
      </c>
      <c r="N21" s="3" t="s">
        <v>582</v>
      </c>
      <c r="O21" s="3" t="s">
        <v>583</v>
      </c>
      <c r="P21" s="8" t="s">
        <v>27</v>
      </c>
      <c r="Q21" s="3"/>
    </row>
    <row r="22" customFormat="false" ht="35.05" hidden="false" customHeight="false" outlineLevel="0" collapsed="false">
      <c r="A22" s="15" t="s">
        <v>65</v>
      </c>
      <c r="B22" s="4" t="s">
        <v>447</v>
      </c>
      <c r="C22" s="16" t="n">
        <v>2</v>
      </c>
      <c r="D22" s="3" t="s">
        <v>446</v>
      </c>
      <c r="E22" s="3" t="s">
        <v>548</v>
      </c>
      <c r="F22" s="3" t="s">
        <v>584</v>
      </c>
      <c r="G22" s="3"/>
      <c r="H22" s="5" t="n">
        <v>46190</v>
      </c>
      <c r="I22" s="4" t="s">
        <v>585</v>
      </c>
      <c r="J22" s="3" t="s">
        <v>550</v>
      </c>
      <c r="K22" s="4"/>
      <c r="L22" s="3" t="s">
        <v>445</v>
      </c>
      <c r="M22" s="3" t="s">
        <v>515</v>
      </c>
      <c r="N22" s="3" t="s">
        <v>586</v>
      </c>
      <c r="O22" s="3" t="s">
        <v>587</v>
      </c>
      <c r="P22" s="8" t="s">
        <v>27</v>
      </c>
      <c r="Q22" s="3"/>
    </row>
    <row r="23" customFormat="false" ht="91" hidden="false" customHeight="false" outlineLevel="0" collapsed="false">
      <c r="A23" s="15" t="s">
        <v>65</v>
      </c>
      <c r="B23" s="4" t="s">
        <v>450</v>
      </c>
      <c r="C23" s="16" t="n">
        <v>2</v>
      </c>
      <c r="D23" s="3" t="s">
        <v>449</v>
      </c>
      <c r="E23" s="3" t="s">
        <v>548</v>
      </c>
      <c r="F23" s="3" t="s">
        <v>561</v>
      </c>
      <c r="G23" s="3"/>
      <c r="H23" s="5" t="n">
        <v>46188</v>
      </c>
      <c r="I23" s="4" t="s">
        <v>588</v>
      </c>
      <c r="J23" s="3" t="s">
        <v>550</v>
      </c>
      <c r="K23" s="4"/>
      <c r="L23" s="3" t="s">
        <v>448</v>
      </c>
      <c r="M23" s="3" t="s">
        <v>509</v>
      </c>
      <c r="N23" s="3"/>
      <c r="O23" s="3" t="s">
        <v>589</v>
      </c>
      <c r="P23" s="8" t="s">
        <v>27</v>
      </c>
      <c r="Q23" s="3"/>
    </row>
    <row r="24" customFormat="false" ht="57.45" hidden="false" customHeight="false" outlineLevel="0" collapsed="false">
      <c r="A24" s="15" t="s">
        <v>65</v>
      </c>
      <c r="B24" s="4" t="s">
        <v>590</v>
      </c>
      <c r="C24" s="16" t="n">
        <v>2</v>
      </c>
      <c r="D24" s="3" t="s">
        <v>432</v>
      </c>
      <c r="E24" s="3" t="s">
        <v>548</v>
      </c>
      <c r="F24" s="3" t="s">
        <v>506</v>
      </c>
      <c r="G24" s="3"/>
      <c r="H24" s="5" t="n">
        <v>46175</v>
      </c>
      <c r="I24" s="4" t="s">
        <v>591</v>
      </c>
      <c r="J24" s="3" t="s">
        <v>550</v>
      </c>
      <c r="K24" s="4" t="s">
        <v>554</v>
      </c>
      <c r="L24" s="3" t="s">
        <v>431</v>
      </c>
      <c r="M24" s="3" t="s">
        <v>515</v>
      </c>
      <c r="N24" s="3" t="s">
        <v>555</v>
      </c>
      <c r="O24" s="3" t="s">
        <v>556</v>
      </c>
      <c r="P24" s="8" t="s">
        <v>27</v>
      </c>
      <c r="Q24" s="3"/>
    </row>
    <row r="25" customFormat="false" ht="46.25" hidden="false" customHeight="false" outlineLevel="0" collapsed="false">
      <c r="A25" s="17" t="s">
        <v>105</v>
      </c>
      <c r="B25" s="4" t="s">
        <v>459</v>
      </c>
      <c r="C25" s="10" t="n">
        <v>3</v>
      </c>
      <c r="D25" s="3" t="s">
        <v>327</v>
      </c>
      <c r="E25" s="3" t="s">
        <v>592</v>
      </c>
      <c r="F25" s="3" t="s">
        <v>501</v>
      </c>
      <c r="G25" s="3"/>
      <c r="H25" s="5" t="n">
        <v>46316</v>
      </c>
      <c r="I25" s="4" t="s">
        <v>593</v>
      </c>
      <c r="J25" s="3" t="s">
        <v>594</v>
      </c>
      <c r="K25" s="4" t="s">
        <v>522</v>
      </c>
      <c r="L25" s="3" t="s">
        <v>326</v>
      </c>
      <c r="M25" s="3" t="s">
        <v>509</v>
      </c>
      <c r="N25" s="3" t="s">
        <v>523</v>
      </c>
      <c r="O25" s="3" t="s">
        <v>524</v>
      </c>
      <c r="P25" s="8" t="s">
        <v>27</v>
      </c>
      <c r="Q25" s="3"/>
    </row>
    <row r="26" customFormat="false" ht="46.25" hidden="false" customHeight="false" outlineLevel="0" collapsed="false">
      <c r="A26" s="17" t="s">
        <v>105</v>
      </c>
      <c r="B26" s="4" t="s">
        <v>459</v>
      </c>
      <c r="C26" s="10" t="n">
        <v>3</v>
      </c>
      <c r="D26" s="3" t="s">
        <v>327</v>
      </c>
      <c r="E26" s="3" t="s">
        <v>592</v>
      </c>
      <c r="F26" s="3" t="s">
        <v>561</v>
      </c>
      <c r="G26" s="3"/>
      <c r="H26" s="5" t="n">
        <v>46316</v>
      </c>
      <c r="I26" s="4" t="s">
        <v>595</v>
      </c>
      <c r="J26" s="3" t="s">
        <v>594</v>
      </c>
      <c r="K26" s="4" t="s">
        <v>522</v>
      </c>
      <c r="L26" s="3" t="s">
        <v>326</v>
      </c>
      <c r="M26" s="3" t="s">
        <v>509</v>
      </c>
      <c r="N26" s="3" t="s">
        <v>523</v>
      </c>
      <c r="O26" s="3" t="s">
        <v>524</v>
      </c>
      <c r="P26" s="8" t="s">
        <v>27</v>
      </c>
      <c r="Q26" s="3"/>
    </row>
    <row r="27" customFormat="false" ht="23.85" hidden="false" customHeight="false" outlineLevel="0" collapsed="false">
      <c r="A27" s="17" t="s">
        <v>105</v>
      </c>
      <c r="B27" s="4" t="s">
        <v>459</v>
      </c>
      <c r="C27" s="10" t="n">
        <v>3</v>
      </c>
      <c r="D27" s="3" t="s">
        <v>458</v>
      </c>
      <c r="E27" s="3" t="s">
        <v>592</v>
      </c>
      <c r="F27" s="3" t="s">
        <v>506</v>
      </c>
      <c r="G27" s="3"/>
      <c r="H27" s="5" t="n">
        <v>46315</v>
      </c>
      <c r="I27" s="4" t="s">
        <v>596</v>
      </c>
      <c r="J27" s="3" t="s">
        <v>594</v>
      </c>
      <c r="K27" s="4"/>
      <c r="L27" s="3" t="s">
        <v>457</v>
      </c>
      <c r="M27" s="3" t="s">
        <v>509</v>
      </c>
      <c r="N27" s="3"/>
      <c r="O27" s="3" t="s">
        <v>597</v>
      </c>
      <c r="P27" s="8" t="s">
        <v>27</v>
      </c>
      <c r="Q27" s="3"/>
    </row>
    <row r="28" customFormat="false" ht="23.85" hidden="false" customHeight="false" outlineLevel="0" collapsed="false">
      <c r="A28" s="17" t="s">
        <v>105</v>
      </c>
      <c r="B28" s="4" t="s">
        <v>459</v>
      </c>
      <c r="C28" s="10" t="n">
        <v>3</v>
      </c>
      <c r="D28" s="3" t="s">
        <v>449</v>
      </c>
      <c r="E28" s="3" t="s">
        <v>592</v>
      </c>
      <c r="F28" s="3" t="s">
        <v>561</v>
      </c>
      <c r="G28" s="3"/>
      <c r="H28" s="5" t="n">
        <v>46315</v>
      </c>
      <c r="I28" s="4" t="s">
        <v>598</v>
      </c>
      <c r="J28" s="3" t="s">
        <v>594</v>
      </c>
      <c r="K28" s="4"/>
      <c r="L28" s="3" t="s">
        <v>448</v>
      </c>
      <c r="M28" s="3" t="s">
        <v>509</v>
      </c>
      <c r="N28" s="3"/>
      <c r="O28" s="3" t="s">
        <v>589</v>
      </c>
      <c r="P28" s="8" t="s">
        <v>27</v>
      </c>
      <c r="Q28" s="3"/>
    </row>
    <row r="29" customFormat="false" ht="23.85" hidden="false" customHeight="false" outlineLevel="0" collapsed="false">
      <c r="A29" s="17" t="s">
        <v>105</v>
      </c>
      <c r="B29" s="4" t="s">
        <v>459</v>
      </c>
      <c r="C29" s="10" t="n">
        <v>3</v>
      </c>
      <c r="D29" s="3" t="s">
        <v>461</v>
      </c>
      <c r="E29" s="3" t="s">
        <v>592</v>
      </c>
      <c r="F29" s="3" t="s">
        <v>539</v>
      </c>
      <c r="G29" s="3"/>
      <c r="H29" s="5" t="n">
        <v>46308</v>
      </c>
      <c r="I29" s="4" t="s">
        <v>599</v>
      </c>
      <c r="J29" s="3" t="s">
        <v>594</v>
      </c>
      <c r="K29" s="4"/>
      <c r="L29" s="3" t="s">
        <v>460</v>
      </c>
      <c r="M29" s="3" t="s">
        <v>509</v>
      </c>
      <c r="N29" s="3" t="s">
        <v>600</v>
      </c>
      <c r="O29" s="3" t="s">
        <v>601</v>
      </c>
      <c r="P29" s="8" t="s">
        <v>27</v>
      </c>
      <c r="Q29" s="3"/>
    </row>
    <row r="30" customFormat="false" ht="23.85" hidden="false" customHeight="false" outlineLevel="0" collapsed="false">
      <c r="A30" s="17" t="s">
        <v>105</v>
      </c>
      <c r="B30" s="4" t="s">
        <v>459</v>
      </c>
      <c r="C30" s="10" t="n">
        <v>3</v>
      </c>
      <c r="D30" s="3" t="s">
        <v>461</v>
      </c>
      <c r="E30" s="3" t="s">
        <v>592</v>
      </c>
      <c r="F30" s="3" t="s">
        <v>539</v>
      </c>
      <c r="G30" s="3"/>
      <c r="H30" s="5" t="n">
        <v>46308</v>
      </c>
      <c r="I30" s="4" t="s">
        <v>602</v>
      </c>
      <c r="J30" s="3" t="s">
        <v>594</v>
      </c>
      <c r="K30" s="4"/>
      <c r="L30" s="3" t="s">
        <v>460</v>
      </c>
      <c r="M30" s="3" t="s">
        <v>509</v>
      </c>
      <c r="N30" s="3" t="s">
        <v>600</v>
      </c>
      <c r="O30" s="3" t="s">
        <v>601</v>
      </c>
      <c r="P30" s="8" t="s">
        <v>27</v>
      </c>
      <c r="Q30" s="3"/>
    </row>
    <row r="31" customFormat="false" ht="91" hidden="false" customHeight="false" outlineLevel="0" collapsed="false">
      <c r="A31" s="17" t="s">
        <v>105</v>
      </c>
      <c r="B31" s="4" t="s">
        <v>459</v>
      </c>
      <c r="C31" s="10" t="n">
        <v>3</v>
      </c>
      <c r="D31" s="3" t="s">
        <v>327</v>
      </c>
      <c r="E31" s="3" t="s">
        <v>592</v>
      </c>
      <c r="F31" s="3" t="s">
        <v>573</v>
      </c>
      <c r="G31" s="3" t="s">
        <v>603</v>
      </c>
      <c r="H31" s="5" t="n">
        <v>46283</v>
      </c>
      <c r="I31" s="4" t="s">
        <v>604</v>
      </c>
      <c r="J31" s="3" t="s">
        <v>594</v>
      </c>
      <c r="K31" s="4" t="s">
        <v>522</v>
      </c>
      <c r="L31" s="3" t="s">
        <v>326</v>
      </c>
      <c r="M31" s="3" t="s">
        <v>509</v>
      </c>
      <c r="N31" s="3" t="s">
        <v>523</v>
      </c>
      <c r="O31" s="3" t="s">
        <v>524</v>
      </c>
      <c r="P31" s="8" t="s">
        <v>27</v>
      </c>
      <c r="Q31" s="3"/>
    </row>
    <row r="32" customFormat="false" ht="23.85" hidden="false" customHeight="false" outlineLevel="0" collapsed="false">
      <c r="A32" s="17" t="s">
        <v>105</v>
      </c>
      <c r="B32" s="4" t="s">
        <v>459</v>
      </c>
      <c r="C32" s="10" t="n">
        <v>3</v>
      </c>
      <c r="D32" s="3" t="s">
        <v>463</v>
      </c>
      <c r="E32" s="3" t="s">
        <v>592</v>
      </c>
      <c r="F32" s="3" t="s">
        <v>561</v>
      </c>
      <c r="G32" s="3"/>
      <c r="H32" s="5" t="n">
        <v>46279</v>
      </c>
      <c r="I32" s="4" t="s">
        <v>605</v>
      </c>
      <c r="J32" s="3" t="s">
        <v>594</v>
      </c>
      <c r="K32" s="4"/>
      <c r="L32" s="3" t="s">
        <v>462</v>
      </c>
      <c r="M32" s="3" t="s">
        <v>509</v>
      </c>
      <c r="N32" s="3" t="s">
        <v>606</v>
      </c>
      <c r="O32" s="3" t="s">
        <v>607</v>
      </c>
      <c r="P32" s="8" t="s">
        <v>27</v>
      </c>
      <c r="Q32" s="3"/>
    </row>
    <row r="33" customFormat="false" ht="68.65" hidden="false" customHeight="false" outlineLevel="0" collapsed="false">
      <c r="A33" s="17" t="s">
        <v>105</v>
      </c>
      <c r="B33" s="4" t="s">
        <v>459</v>
      </c>
      <c r="C33" s="10" t="n">
        <v>3</v>
      </c>
      <c r="D33" s="3" t="s">
        <v>327</v>
      </c>
      <c r="E33" s="3" t="s">
        <v>592</v>
      </c>
      <c r="F33" s="3" t="s">
        <v>608</v>
      </c>
      <c r="G33" s="3"/>
      <c r="H33" s="5" t="n">
        <v>46269</v>
      </c>
      <c r="I33" s="4" t="s">
        <v>609</v>
      </c>
      <c r="J33" s="3" t="s">
        <v>594</v>
      </c>
      <c r="K33" s="4" t="s">
        <v>522</v>
      </c>
      <c r="L33" s="3" t="s">
        <v>326</v>
      </c>
      <c r="M33" s="3" t="s">
        <v>509</v>
      </c>
      <c r="N33" s="3" t="s">
        <v>523</v>
      </c>
      <c r="O33" s="3" t="s">
        <v>524</v>
      </c>
      <c r="P33" s="8" t="s">
        <v>27</v>
      </c>
      <c r="Q33" s="3"/>
    </row>
    <row r="34" customFormat="false" ht="23.85" hidden="false" customHeight="false" outlineLevel="0" collapsed="false">
      <c r="A34" s="17" t="s">
        <v>105</v>
      </c>
      <c r="B34" s="4" t="s">
        <v>459</v>
      </c>
      <c r="C34" s="10" t="n">
        <v>3</v>
      </c>
      <c r="D34" s="3" t="s">
        <v>610</v>
      </c>
      <c r="E34" s="3" t="s">
        <v>592</v>
      </c>
      <c r="F34" s="3" t="s">
        <v>608</v>
      </c>
      <c r="G34" s="3"/>
      <c r="H34" s="5" t="n">
        <v>46269</v>
      </c>
      <c r="I34" s="4" t="s">
        <v>611</v>
      </c>
      <c r="J34" s="3" t="s">
        <v>594</v>
      </c>
      <c r="K34" s="4"/>
      <c r="L34" s="3"/>
      <c r="M34" s="3"/>
      <c r="N34" s="3"/>
      <c r="O34" s="3"/>
      <c r="P34" s="8" t="s">
        <v>27</v>
      </c>
      <c r="Q34" s="3"/>
    </row>
    <row r="35" customFormat="false" ht="57.45" hidden="false" customHeight="false" outlineLevel="0" collapsed="false">
      <c r="A35" s="17" t="s">
        <v>105</v>
      </c>
      <c r="B35" s="4" t="s">
        <v>459</v>
      </c>
      <c r="C35" s="10" t="n">
        <v>3</v>
      </c>
      <c r="D35" s="3" t="s">
        <v>612</v>
      </c>
      <c r="E35" s="3" t="s">
        <v>592</v>
      </c>
      <c r="F35" s="3" t="s">
        <v>501</v>
      </c>
      <c r="G35" s="3"/>
      <c r="H35" s="5" t="n">
        <v>46266</v>
      </c>
      <c r="I35" s="4" t="s">
        <v>613</v>
      </c>
      <c r="J35" s="3" t="s">
        <v>594</v>
      </c>
      <c r="K35" s="4"/>
      <c r="L35" s="3"/>
      <c r="M35" s="3"/>
      <c r="N35" s="3"/>
      <c r="O35" s="3"/>
      <c r="P35" s="8" t="s">
        <v>27</v>
      </c>
      <c r="Q35" s="3"/>
    </row>
    <row r="36" customFormat="false" ht="46.25" hidden="false" customHeight="false" outlineLevel="0" collapsed="false">
      <c r="A36" s="17" t="s">
        <v>105</v>
      </c>
      <c r="B36" s="4" t="s">
        <v>459</v>
      </c>
      <c r="C36" s="10" t="n">
        <v>3</v>
      </c>
      <c r="D36" s="3" t="s">
        <v>612</v>
      </c>
      <c r="E36" s="3" t="s">
        <v>592</v>
      </c>
      <c r="F36" s="3" t="s">
        <v>501</v>
      </c>
      <c r="G36" s="3"/>
      <c r="H36" s="5" t="n">
        <v>46262</v>
      </c>
      <c r="I36" s="4" t="s">
        <v>614</v>
      </c>
      <c r="J36" s="3" t="s">
        <v>594</v>
      </c>
      <c r="K36" s="4"/>
      <c r="L36" s="3"/>
      <c r="M36" s="3"/>
      <c r="N36" s="3"/>
      <c r="O36" s="3"/>
      <c r="P36" s="8" t="s">
        <v>27</v>
      </c>
      <c r="Q36" s="3"/>
    </row>
    <row r="37" customFormat="false" ht="23.85" hidden="false" customHeight="false" outlineLevel="0" collapsed="false">
      <c r="A37" s="17" t="s">
        <v>105</v>
      </c>
      <c r="B37" s="4" t="s">
        <v>459</v>
      </c>
      <c r="C37" s="10" t="n">
        <v>3</v>
      </c>
      <c r="D37" s="3" t="s">
        <v>465</v>
      </c>
      <c r="E37" s="3" t="s">
        <v>592</v>
      </c>
      <c r="F37" s="3" t="s">
        <v>506</v>
      </c>
      <c r="G37" s="3"/>
      <c r="H37" s="5" t="n">
        <v>46258</v>
      </c>
      <c r="I37" s="4" t="s">
        <v>615</v>
      </c>
      <c r="J37" s="3" t="s">
        <v>594</v>
      </c>
      <c r="K37" s="4"/>
      <c r="L37" s="3" t="s">
        <v>464</v>
      </c>
      <c r="M37" s="3" t="s">
        <v>509</v>
      </c>
      <c r="N37" s="3" t="s">
        <v>600</v>
      </c>
      <c r="O37" s="3" t="s">
        <v>616</v>
      </c>
      <c r="P37" s="8" t="s">
        <v>27</v>
      </c>
      <c r="Q37" s="3"/>
    </row>
    <row r="38" customFormat="false" ht="124.6" hidden="false" customHeight="false" outlineLevel="0" collapsed="false">
      <c r="A38" s="17" t="s">
        <v>105</v>
      </c>
      <c r="B38" s="4" t="s">
        <v>459</v>
      </c>
      <c r="C38" s="10" t="n">
        <v>3</v>
      </c>
      <c r="D38" s="3" t="s">
        <v>467</v>
      </c>
      <c r="E38" s="3" t="s">
        <v>592</v>
      </c>
      <c r="F38" s="3" t="s">
        <v>501</v>
      </c>
      <c r="G38" s="3" t="s">
        <v>617</v>
      </c>
      <c r="H38" s="5" t="n">
        <v>46258</v>
      </c>
      <c r="I38" s="4" t="s">
        <v>618</v>
      </c>
      <c r="J38" s="3" t="s">
        <v>594</v>
      </c>
      <c r="K38" s="4"/>
      <c r="L38" s="3" t="s">
        <v>466</v>
      </c>
      <c r="M38" s="3" t="s">
        <v>509</v>
      </c>
      <c r="N38" s="3"/>
      <c r="O38" s="3" t="s">
        <v>619</v>
      </c>
      <c r="P38" s="8" t="s">
        <v>27</v>
      </c>
      <c r="Q38" s="3"/>
    </row>
    <row r="39" customFormat="false" ht="23.85" hidden="false" customHeight="false" outlineLevel="0" collapsed="false">
      <c r="A39" s="17" t="s">
        <v>105</v>
      </c>
      <c r="B39" s="4" t="s">
        <v>459</v>
      </c>
      <c r="C39" s="10" t="n">
        <v>3</v>
      </c>
      <c r="D39" s="3" t="s">
        <v>333</v>
      </c>
      <c r="E39" s="3" t="s">
        <v>592</v>
      </c>
      <c r="F39" s="3" t="s">
        <v>506</v>
      </c>
      <c r="G39" s="3"/>
      <c r="H39" s="5" t="n">
        <v>46253</v>
      </c>
      <c r="I39" s="4" t="s">
        <v>620</v>
      </c>
      <c r="J39" s="3" t="s">
        <v>594</v>
      </c>
      <c r="K39" s="4"/>
      <c r="L39" s="3" t="s">
        <v>332</v>
      </c>
      <c r="M39" s="3" t="s">
        <v>509</v>
      </c>
      <c r="N39" s="3"/>
      <c r="O39" s="3" t="s">
        <v>534</v>
      </c>
      <c r="P39" s="8" t="s">
        <v>27</v>
      </c>
      <c r="Q39" s="3"/>
    </row>
    <row r="40" customFormat="false" ht="68.65" hidden="false" customHeight="false" outlineLevel="0" collapsed="false">
      <c r="A40" s="17" t="s">
        <v>105</v>
      </c>
      <c r="B40" s="4" t="s">
        <v>459</v>
      </c>
      <c r="C40" s="10" t="n">
        <v>3</v>
      </c>
      <c r="D40" s="3" t="s">
        <v>469</v>
      </c>
      <c r="E40" s="3" t="s">
        <v>592</v>
      </c>
      <c r="F40" s="3" t="s">
        <v>501</v>
      </c>
      <c r="G40" s="3"/>
      <c r="H40" s="5" t="n">
        <v>46252</v>
      </c>
      <c r="I40" s="4" t="s">
        <v>621</v>
      </c>
      <c r="J40" s="3" t="s">
        <v>594</v>
      </c>
      <c r="K40" s="4"/>
      <c r="L40" s="3" t="s">
        <v>468</v>
      </c>
      <c r="M40" s="3" t="s">
        <v>509</v>
      </c>
      <c r="N40" s="3" t="s">
        <v>622</v>
      </c>
      <c r="O40" s="3" t="s">
        <v>623</v>
      </c>
      <c r="P40" s="8" t="s">
        <v>27</v>
      </c>
      <c r="Q40" s="3"/>
    </row>
    <row r="41" customFormat="false" ht="102.2" hidden="false" customHeight="false" outlineLevel="0" collapsed="false">
      <c r="A41" s="17" t="s">
        <v>105</v>
      </c>
      <c r="B41" s="4" t="s">
        <v>459</v>
      </c>
      <c r="C41" s="10" t="n">
        <v>3</v>
      </c>
      <c r="D41" s="3" t="s">
        <v>461</v>
      </c>
      <c r="E41" s="3" t="s">
        <v>592</v>
      </c>
      <c r="F41" s="3" t="s">
        <v>501</v>
      </c>
      <c r="G41" s="3" t="s">
        <v>624</v>
      </c>
      <c r="H41" s="5" t="n">
        <v>46251</v>
      </c>
      <c r="I41" s="4" t="s">
        <v>625</v>
      </c>
      <c r="J41" s="3" t="s">
        <v>594</v>
      </c>
      <c r="K41" s="4"/>
      <c r="L41" s="3" t="s">
        <v>460</v>
      </c>
      <c r="M41" s="3" t="s">
        <v>509</v>
      </c>
      <c r="N41" s="3" t="s">
        <v>600</v>
      </c>
      <c r="O41" s="3" t="s">
        <v>601</v>
      </c>
      <c r="P41" s="8" t="s">
        <v>27</v>
      </c>
      <c r="Q41" s="3"/>
    </row>
    <row r="42" customFormat="false" ht="124.6" hidden="false" customHeight="false" outlineLevel="0" collapsed="false">
      <c r="A42" s="17" t="s">
        <v>105</v>
      </c>
      <c r="B42" s="4" t="s">
        <v>459</v>
      </c>
      <c r="C42" s="10" t="n">
        <v>3</v>
      </c>
      <c r="D42" s="3" t="s">
        <v>471</v>
      </c>
      <c r="E42" s="3" t="s">
        <v>592</v>
      </c>
      <c r="F42" s="3" t="s">
        <v>539</v>
      </c>
      <c r="G42" s="3"/>
      <c r="H42" s="5" t="n">
        <v>46248</v>
      </c>
      <c r="I42" s="4" t="s">
        <v>626</v>
      </c>
      <c r="J42" s="3" t="s">
        <v>594</v>
      </c>
      <c r="K42" s="4"/>
      <c r="L42" s="3" t="s">
        <v>470</v>
      </c>
      <c r="M42" s="3" t="s">
        <v>509</v>
      </c>
      <c r="N42" s="3" t="s">
        <v>627</v>
      </c>
      <c r="O42" s="3" t="s">
        <v>628</v>
      </c>
      <c r="P42" s="8" t="s">
        <v>27</v>
      </c>
      <c r="Q42" s="3"/>
    </row>
    <row r="43" customFormat="false" ht="23.85" hidden="false" customHeight="false" outlineLevel="0" collapsed="false">
      <c r="A43" s="17" t="s">
        <v>105</v>
      </c>
      <c r="B43" s="4" t="s">
        <v>459</v>
      </c>
      <c r="C43" s="10" t="n">
        <v>3</v>
      </c>
      <c r="D43" s="3" t="s">
        <v>610</v>
      </c>
      <c r="E43" s="3" t="s">
        <v>592</v>
      </c>
      <c r="F43" s="3" t="s">
        <v>561</v>
      </c>
      <c r="G43" s="3"/>
      <c r="H43" s="5" t="n">
        <v>46245</v>
      </c>
      <c r="I43" s="4" t="s">
        <v>629</v>
      </c>
      <c r="J43" s="3" t="s">
        <v>594</v>
      </c>
      <c r="K43" s="4"/>
      <c r="L43" s="3"/>
      <c r="M43" s="3"/>
      <c r="N43" s="3"/>
      <c r="O43" s="3"/>
      <c r="P43" s="8" t="s">
        <v>27</v>
      </c>
      <c r="Q43" s="3"/>
    </row>
    <row r="44" customFormat="false" ht="46.25" hidden="false" customHeight="false" outlineLevel="0" collapsed="false">
      <c r="A44" s="17" t="s">
        <v>105</v>
      </c>
      <c r="B44" s="4" t="s">
        <v>459</v>
      </c>
      <c r="C44" s="10" t="n">
        <v>3</v>
      </c>
      <c r="D44" s="3" t="s">
        <v>499</v>
      </c>
      <c r="E44" s="3" t="s">
        <v>592</v>
      </c>
      <c r="F44" s="3" t="s">
        <v>501</v>
      </c>
      <c r="G44" s="3"/>
      <c r="H44" s="5" t="n">
        <v>46239</v>
      </c>
      <c r="I44" s="4" t="s">
        <v>630</v>
      </c>
      <c r="J44" s="3" t="s">
        <v>594</v>
      </c>
      <c r="K44" s="4" t="s">
        <v>505</v>
      </c>
      <c r="L44" s="3"/>
      <c r="M44" s="3"/>
      <c r="N44" s="3"/>
      <c r="O44" s="3"/>
      <c r="P44" s="8" t="s">
        <v>27</v>
      </c>
      <c r="Q44" s="3"/>
    </row>
    <row r="45" customFormat="false" ht="124.6" hidden="false" customHeight="false" outlineLevel="0" collapsed="false">
      <c r="A45" s="17" t="s">
        <v>105</v>
      </c>
      <c r="B45" s="4" t="s">
        <v>459</v>
      </c>
      <c r="C45" s="10" t="n">
        <v>3</v>
      </c>
      <c r="D45" s="3" t="s">
        <v>473</v>
      </c>
      <c r="E45" s="3" t="s">
        <v>592</v>
      </c>
      <c r="F45" s="3" t="s">
        <v>539</v>
      </c>
      <c r="G45" s="3"/>
      <c r="H45" s="5" t="n">
        <v>46239</v>
      </c>
      <c r="I45" s="4" t="s">
        <v>631</v>
      </c>
      <c r="J45" s="3" t="s">
        <v>594</v>
      </c>
      <c r="K45" s="4"/>
      <c r="L45" s="3" t="s">
        <v>472</v>
      </c>
      <c r="M45" s="3" t="s">
        <v>509</v>
      </c>
      <c r="N45" s="3" t="s">
        <v>632</v>
      </c>
      <c r="O45" s="3" t="s">
        <v>633</v>
      </c>
      <c r="P45" s="8" t="s">
        <v>27</v>
      </c>
      <c r="Q45" s="3"/>
    </row>
    <row r="46" customFormat="false" ht="23.85" hidden="false" customHeight="false" outlineLevel="0" collapsed="false">
      <c r="A46" s="17" t="s">
        <v>105</v>
      </c>
      <c r="B46" s="4" t="s">
        <v>459</v>
      </c>
      <c r="C46" s="10" t="n">
        <v>3</v>
      </c>
      <c r="D46" s="3" t="s">
        <v>446</v>
      </c>
      <c r="E46" s="3" t="s">
        <v>592</v>
      </c>
      <c r="F46" s="3" t="s">
        <v>539</v>
      </c>
      <c r="G46" s="3"/>
      <c r="H46" s="5" t="n">
        <v>46227</v>
      </c>
      <c r="I46" s="4" t="s">
        <v>634</v>
      </c>
      <c r="J46" s="3" t="s">
        <v>594</v>
      </c>
      <c r="K46" s="4"/>
      <c r="L46" s="3" t="s">
        <v>445</v>
      </c>
      <c r="M46" s="3" t="s">
        <v>515</v>
      </c>
      <c r="N46" s="3" t="s">
        <v>586</v>
      </c>
      <c r="O46" s="3" t="s">
        <v>587</v>
      </c>
      <c r="P46" s="8" t="s">
        <v>27</v>
      </c>
      <c r="Q46" s="3"/>
    </row>
    <row r="47" customFormat="false" ht="57.45" hidden="false" customHeight="false" outlineLevel="0" collapsed="false">
      <c r="A47" s="17" t="s">
        <v>105</v>
      </c>
      <c r="B47" s="4" t="s">
        <v>459</v>
      </c>
      <c r="C47" s="10" t="n">
        <v>3</v>
      </c>
      <c r="D47" s="3" t="s">
        <v>434</v>
      </c>
      <c r="E47" s="3" t="s">
        <v>592</v>
      </c>
      <c r="F47" s="3" t="s">
        <v>506</v>
      </c>
      <c r="G47" s="3"/>
      <c r="H47" s="5" t="n">
        <v>46224</v>
      </c>
      <c r="I47" s="4" t="s">
        <v>635</v>
      </c>
      <c r="J47" s="3" t="s">
        <v>594</v>
      </c>
      <c r="K47" s="4" t="s">
        <v>564</v>
      </c>
      <c r="L47" s="3" t="s">
        <v>433</v>
      </c>
      <c r="M47" s="3" t="s">
        <v>515</v>
      </c>
      <c r="N47" s="3" t="s">
        <v>565</v>
      </c>
      <c r="O47" s="3" t="s">
        <v>566</v>
      </c>
      <c r="P47" s="8" t="s">
        <v>27</v>
      </c>
      <c r="Q47" s="3"/>
    </row>
    <row r="48" customFormat="false" ht="23.85" hidden="false" customHeight="false" outlineLevel="0" collapsed="false">
      <c r="A48" s="17" t="s">
        <v>105</v>
      </c>
      <c r="B48" s="4" t="s">
        <v>459</v>
      </c>
      <c r="C48" s="10" t="n">
        <v>3</v>
      </c>
      <c r="D48" s="3" t="s">
        <v>610</v>
      </c>
      <c r="E48" s="3" t="s">
        <v>592</v>
      </c>
      <c r="F48" s="3" t="s">
        <v>561</v>
      </c>
      <c r="G48" s="3"/>
      <c r="H48" s="5" t="n">
        <v>46224</v>
      </c>
      <c r="I48" s="4" t="s">
        <v>636</v>
      </c>
      <c r="J48" s="3" t="s">
        <v>594</v>
      </c>
      <c r="K48" s="4"/>
      <c r="L48" s="3"/>
      <c r="M48" s="3"/>
      <c r="N48" s="3"/>
      <c r="O48" s="3"/>
      <c r="P48" s="8" t="s">
        <v>27</v>
      </c>
      <c r="Q48" s="3"/>
    </row>
    <row r="49" customFormat="false" ht="135.8" hidden="false" customHeight="false" outlineLevel="0" collapsed="false">
      <c r="A49" s="17" t="s">
        <v>105</v>
      </c>
      <c r="B49" s="4" t="s">
        <v>459</v>
      </c>
      <c r="C49" s="10" t="n">
        <v>3</v>
      </c>
      <c r="D49" s="3" t="s">
        <v>637</v>
      </c>
      <c r="E49" s="3" t="s">
        <v>592</v>
      </c>
      <c r="F49" s="3" t="s">
        <v>501</v>
      </c>
      <c r="G49" s="3" t="s">
        <v>638</v>
      </c>
      <c r="H49" s="5" t="n">
        <v>46223</v>
      </c>
      <c r="I49" s="4" t="s">
        <v>639</v>
      </c>
      <c r="J49" s="3" t="s">
        <v>594</v>
      </c>
      <c r="K49" s="4"/>
      <c r="L49" s="3"/>
      <c r="M49" s="3"/>
      <c r="N49" s="3"/>
      <c r="O49" s="3"/>
      <c r="P49" s="8" t="s">
        <v>27</v>
      </c>
      <c r="Q49" s="3"/>
    </row>
    <row r="50" customFormat="false" ht="23.85" hidden="false" customHeight="false" outlineLevel="0" collapsed="false">
      <c r="A50" s="17" t="s">
        <v>105</v>
      </c>
      <c r="B50" s="4" t="s">
        <v>459</v>
      </c>
      <c r="C50" s="10" t="n">
        <v>3</v>
      </c>
      <c r="D50" s="3" t="s">
        <v>333</v>
      </c>
      <c r="E50" s="3" t="s">
        <v>592</v>
      </c>
      <c r="F50" s="3" t="s">
        <v>506</v>
      </c>
      <c r="G50" s="3"/>
      <c r="H50" s="5" t="n">
        <v>46220</v>
      </c>
      <c r="I50" s="4" t="s">
        <v>640</v>
      </c>
      <c r="J50" s="3" t="s">
        <v>594</v>
      </c>
      <c r="K50" s="4"/>
      <c r="L50" s="3" t="s">
        <v>332</v>
      </c>
      <c r="M50" s="3" t="s">
        <v>509</v>
      </c>
      <c r="N50" s="3"/>
      <c r="O50" s="3" t="s">
        <v>534</v>
      </c>
      <c r="P50" s="8" t="s">
        <v>27</v>
      </c>
      <c r="Q50" s="3"/>
    </row>
    <row r="51" customFormat="false" ht="68.65" hidden="false" customHeight="false" outlineLevel="0" collapsed="false">
      <c r="A51" s="17" t="s">
        <v>105</v>
      </c>
      <c r="B51" s="4" t="s">
        <v>459</v>
      </c>
      <c r="C51" s="10" t="n">
        <v>3</v>
      </c>
      <c r="D51" s="3" t="s">
        <v>463</v>
      </c>
      <c r="E51" s="3" t="s">
        <v>592</v>
      </c>
      <c r="F51" s="3" t="s">
        <v>641</v>
      </c>
      <c r="G51" s="3"/>
      <c r="H51" s="5" t="n">
        <v>46218</v>
      </c>
      <c r="I51" s="4" t="s">
        <v>642</v>
      </c>
      <c r="J51" s="3" t="s">
        <v>594</v>
      </c>
      <c r="K51" s="4"/>
      <c r="L51" s="3" t="s">
        <v>462</v>
      </c>
      <c r="M51" s="3" t="s">
        <v>509</v>
      </c>
      <c r="N51" s="3" t="s">
        <v>606</v>
      </c>
      <c r="O51" s="3" t="s">
        <v>607</v>
      </c>
      <c r="P51" s="8" t="s">
        <v>27</v>
      </c>
      <c r="Q51" s="3"/>
    </row>
    <row r="52" customFormat="false" ht="113.4" hidden="false" customHeight="false" outlineLevel="0" collapsed="false">
      <c r="A52" s="17" t="s">
        <v>105</v>
      </c>
      <c r="B52" s="4" t="s">
        <v>459</v>
      </c>
      <c r="C52" s="10" t="n">
        <v>3</v>
      </c>
      <c r="D52" s="3" t="s">
        <v>475</v>
      </c>
      <c r="E52" s="3" t="s">
        <v>592</v>
      </c>
      <c r="F52" s="3" t="s">
        <v>584</v>
      </c>
      <c r="G52" s="3"/>
      <c r="H52" s="5" t="n">
        <v>46216</v>
      </c>
      <c r="I52" s="4" t="s">
        <v>643</v>
      </c>
      <c r="J52" s="3" t="s">
        <v>594</v>
      </c>
      <c r="K52" s="4"/>
      <c r="L52" s="3" t="s">
        <v>474</v>
      </c>
      <c r="M52" s="3" t="s">
        <v>509</v>
      </c>
      <c r="N52" s="3" t="s">
        <v>644</v>
      </c>
      <c r="O52" s="3" t="s">
        <v>645</v>
      </c>
      <c r="P52" s="8" t="s">
        <v>27</v>
      </c>
      <c r="Q52" s="3"/>
    </row>
    <row r="53" customFormat="false" ht="35.05" hidden="false" customHeight="false" outlineLevel="0" collapsed="false">
      <c r="A53" s="17" t="s">
        <v>105</v>
      </c>
      <c r="B53" s="4" t="s">
        <v>459</v>
      </c>
      <c r="C53" s="10" t="n">
        <v>3</v>
      </c>
      <c r="D53" s="3" t="s">
        <v>477</v>
      </c>
      <c r="E53" s="3" t="s">
        <v>592</v>
      </c>
      <c r="F53" s="3" t="s">
        <v>501</v>
      </c>
      <c r="G53" s="3"/>
      <c r="H53" s="5" t="n">
        <v>46216</v>
      </c>
      <c r="I53" s="4" t="s">
        <v>646</v>
      </c>
      <c r="J53" s="3" t="s">
        <v>594</v>
      </c>
      <c r="K53" s="4"/>
      <c r="L53" s="3" t="s">
        <v>476</v>
      </c>
      <c r="M53" s="3" t="s">
        <v>509</v>
      </c>
      <c r="N53" s="3" t="s">
        <v>647</v>
      </c>
      <c r="O53" s="3" t="s">
        <v>648</v>
      </c>
      <c r="P53" s="8" t="s">
        <v>27</v>
      </c>
      <c r="Q53" s="3"/>
    </row>
    <row r="54" customFormat="false" ht="124.6" hidden="false" customHeight="false" outlineLevel="0" collapsed="false">
      <c r="A54" s="17" t="s">
        <v>105</v>
      </c>
      <c r="B54" s="4" t="s">
        <v>459</v>
      </c>
      <c r="C54" s="10" t="n">
        <v>3</v>
      </c>
      <c r="D54" s="3" t="s">
        <v>467</v>
      </c>
      <c r="E54" s="3" t="s">
        <v>592</v>
      </c>
      <c r="F54" s="3" t="s">
        <v>501</v>
      </c>
      <c r="G54" s="3" t="s">
        <v>649</v>
      </c>
      <c r="H54" s="5" t="n">
        <v>46216</v>
      </c>
      <c r="I54" s="4" t="s">
        <v>650</v>
      </c>
      <c r="J54" s="3" t="s">
        <v>594</v>
      </c>
      <c r="K54" s="4"/>
      <c r="L54" s="3" t="s">
        <v>466</v>
      </c>
      <c r="M54" s="3" t="s">
        <v>509</v>
      </c>
      <c r="N54" s="3"/>
      <c r="O54" s="3" t="s">
        <v>619</v>
      </c>
      <c r="P54" s="8" t="s">
        <v>27</v>
      </c>
      <c r="Q54" s="3"/>
    </row>
    <row r="55" customFormat="false" ht="46.25" hidden="false" customHeight="false" outlineLevel="0" collapsed="false">
      <c r="A55" s="17" t="s">
        <v>105</v>
      </c>
      <c r="B55" s="4" t="s">
        <v>459</v>
      </c>
      <c r="C55" s="10" t="n">
        <v>3</v>
      </c>
      <c r="D55" s="3" t="s">
        <v>429</v>
      </c>
      <c r="E55" s="3" t="s">
        <v>592</v>
      </c>
      <c r="F55" s="3" t="s">
        <v>501</v>
      </c>
      <c r="G55" s="3"/>
      <c r="H55" s="5" t="n">
        <v>46212</v>
      </c>
      <c r="I55" s="4" t="s">
        <v>651</v>
      </c>
      <c r="J55" s="3" t="s">
        <v>594</v>
      </c>
      <c r="K55" s="4" t="s">
        <v>551</v>
      </c>
      <c r="L55" s="3" t="s">
        <v>428</v>
      </c>
      <c r="M55" s="3" t="s">
        <v>509</v>
      </c>
      <c r="N55" s="3"/>
      <c r="O55" s="3" t="s">
        <v>552</v>
      </c>
      <c r="P55" s="8" t="s">
        <v>27</v>
      </c>
      <c r="Q55" s="3"/>
    </row>
    <row r="56" customFormat="false" ht="91" hidden="false" customHeight="false" outlineLevel="0" collapsed="false">
      <c r="A56" s="17" t="s">
        <v>105</v>
      </c>
      <c r="B56" s="4" t="s">
        <v>459</v>
      </c>
      <c r="C56" s="10" t="n">
        <v>3</v>
      </c>
      <c r="D56" s="3" t="s">
        <v>327</v>
      </c>
      <c r="E56" s="3" t="s">
        <v>592</v>
      </c>
      <c r="F56" s="3" t="s">
        <v>573</v>
      </c>
      <c r="G56" s="3" t="s">
        <v>652</v>
      </c>
      <c r="H56" s="5" t="n">
        <v>46212</v>
      </c>
      <c r="I56" s="4" t="s">
        <v>653</v>
      </c>
      <c r="J56" s="3" t="s">
        <v>594</v>
      </c>
      <c r="K56" s="4" t="s">
        <v>522</v>
      </c>
      <c r="L56" s="3" t="s">
        <v>326</v>
      </c>
      <c r="M56" s="3" t="s">
        <v>509</v>
      </c>
      <c r="N56" s="3" t="s">
        <v>523</v>
      </c>
      <c r="O56" s="3" t="s">
        <v>524</v>
      </c>
      <c r="P56" s="8" t="s">
        <v>27</v>
      </c>
      <c r="Q56" s="3"/>
    </row>
    <row r="57" customFormat="false" ht="57.45" hidden="false" customHeight="false" outlineLevel="0" collapsed="false">
      <c r="A57" s="17" t="s">
        <v>105</v>
      </c>
      <c r="B57" s="4" t="s">
        <v>459</v>
      </c>
      <c r="C57" s="10" t="n">
        <v>3</v>
      </c>
      <c r="D57" s="3" t="s">
        <v>327</v>
      </c>
      <c r="E57" s="3" t="s">
        <v>592</v>
      </c>
      <c r="F57" s="3" t="s">
        <v>608</v>
      </c>
      <c r="G57" s="3"/>
      <c r="H57" s="5" t="n">
        <v>46212</v>
      </c>
      <c r="I57" s="4" t="s">
        <v>654</v>
      </c>
      <c r="J57" s="3" t="s">
        <v>594</v>
      </c>
      <c r="K57" s="4" t="s">
        <v>522</v>
      </c>
      <c r="L57" s="3" t="s">
        <v>326</v>
      </c>
      <c r="M57" s="3" t="s">
        <v>509</v>
      </c>
      <c r="N57" s="3" t="s">
        <v>523</v>
      </c>
      <c r="O57" s="3" t="s">
        <v>524</v>
      </c>
      <c r="P57" s="8" t="s">
        <v>27</v>
      </c>
      <c r="Q57" s="3"/>
    </row>
    <row r="58" customFormat="false" ht="68.65" hidden="false" customHeight="false" outlineLevel="0" collapsed="false">
      <c r="A58" s="17" t="s">
        <v>105</v>
      </c>
      <c r="B58" s="4" t="s">
        <v>459</v>
      </c>
      <c r="C58" s="10" t="n">
        <v>3</v>
      </c>
      <c r="D58" s="3" t="s">
        <v>327</v>
      </c>
      <c r="E58" s="3" t="s">
        <v>592</v>
      </c>
      <c r="F58" s="3" t="s">
        <v>608</v>
      </c>
      <c r="G58" s="3"/>
      <c r="H58" s="5" t="n">
        <v>46212</v>
      </c>
      <c r="I58" s="4" t="s">
        <v>655</v>
      </c>
      <c r="J58" s="3" t="s">
        <v>594</v>
      </c>
      <c r="K58" s="4" t="s">
        <v>522</v>
      </c>
      <c r="L58" s="3" t="s">
        <v>326</v>
      </c>
      <c r="M58" s="3" t="s">
        <v>509</v>
      </c>
      <c r="N58" s="3" t="s">
        <v>523</v>
      </c>
      <c r="O58" s="3" t="s">
        <v>524</v>
      </c>
      <c r="P58" s="8" t="s">
        <v>27</v>
      </c>
      <c r="Q58" s="3"/>
    </row>
    <row r="59" customFormat="false" ht="102.2" hidden="false" customHeight="false" outlineLevel="0" collapsed="false">
      <c r="A59" s="17" t="s">
        <v>105</v>
      </c>
      <c r="B59" s="4" t="s">
        <v>459</v>
      </c>
      <c r="C59" s="10" t="n">
        <v>3</v>
      </c>
      <c r="D59" s="3" t="s">
        <v>443</v>
      </c>
      <c r="E59" s="3" t="s">
        <v>592</v>
      </c>
      <c r="F59" s="3" t="s">
        <v>584</v>
      </c>
      <c r="G59" s="3" t="s">
        <v>656</v>
      </c>
      <c r="H59" s="5" t="n">
        <v>46209</v>
      </c>
      <c r="I59" s="4" t="s">
        <v>657</v>
      </c>
      <c r="J59" s="3" t="s">
        <v>594</v>
      </c>
      <c r="K59" s="4"/>
      <c r="L59" s="3" t="s">
        <v>442</v>
      </c>
      <c r="M59" s="3" t="s">
        <v>509</v>
      </c>
      <c r="N59" s="3" t="s">
        <v>582</v>
      </c>
      <c r="O59" s="3" t="s">
        <v>583</v>
      </c>
      <c r="P59" s="8" t="s">
        <v>27</v>
      </c>
      <c r="Q59" s="3"/>
    </row>
    <row r="60" customFormat="false" ht="23.85" hidden="false" customHeight="false" outlineLevel="0" collapsed="false">
      <c r="A60" s="17" t="s">
        <v>105</v>
      </c>
      <c r="B60" s="4" t="s">
        <v>459</v>
      </c>
      <c r="C60" s="10" t="n">
        <v>3</v>
      </c>
      <c r="D60" s="3" t="s">
        <v>479</v>
      </c>
      <c r="E60" s="3" t="s">
        <v>592</v>
      </c>
      <c r="F60" s="3" t="s">
        <v>539</v>
      </c>
      <c r="G60" s="3"/>
      <c r="H60" s="5" t="n">
        <v>46209</v>
      </c>
      <c r="I60" s="4" t="s">
        <v>658</v>
      </c>
      <c r="J60" s="3" t="s">
        <v>594</v>
      </c>
      <c r="K60" s="4"/>
      <c r="L60" s="3" t="s">
        <v>478</v>
      </c>
      <c r="M60" s="3" t="s">
        <v>509</v>
      </c>
      <c r="N60" s="3" t="s">
        <v>659</v>
      </c>
      <c r="O60" s="3" t="s">
        <v>660</v>
      </c>
      <c r="P60" s="8" t="s">
        <v>27</v>
      </c>
      <c r="Q60" s="3"/>
    </row>
    <row r="61" customFormat="false" ht="57.45" hidden="false" customHeight="false" outlineLevel="0" collapsed="false">
      <c r="A61" s="17" t="s">
        <v>105</v>
      </c>
      <c r="B61" s="4" t="s">
        <v>459</v>
      </c>
      <c r="C61" s="10" t="n">
        <v>3</v>
      </c>
      <c r="D61" s="3" t="s">
        <v>612</v>
      </c>
      <c r="E61" s="3" t="s">
        <v>592</v>
      </c>
      <c r="F61" s="3" t="s">
        <v>501</v>
      </c>
      <c r="G61" s="3"/>
      <c r="H61" s="5" t="n">
        <v>46204</v>
      </c>
      <c r="I61" s="4" t="s">
        <v>661</v>
      </c>
      <c r="J61" s="3" t="s">
        <v>594</v>
      </c>
      <c r="K61" s="4"/>
      <c r="L61" s="3"/>
      <c r="M61" s="3"/>
      <c r="N61" s="3"/>
      <c r="O61" s="3"/>
      <c r="P61" s="8" t="s">
        <v>27</v>
      </c>
      <c r="Q61" s="3"/>
    </row>
    <row r="62" customFormat="false" ht="91" hidden="false" customHeight="false" outlineLevel="0" collapsed="false">
      <c r="A62" s="17" t="s">
        <v>105</v>
      </c>
      <c r="B62" s="4" t="s">
        <v>459</v>
      </c>
      <c r="C62" s="10" t="n">
        <v>3</v>
      </c>
      <c r="D62" s="3" t="s">
        <v>443</v>
      </c>
      <c r="E62" s="3" t="s">
        <v>592</v>
      </c>
      <c r="F62" s="3" t="s">
        <v>506</v>
      </c>
      <c r="G62" s="3" t="s">
        <v>662</v>
      </c>
      <c r="H62" s="5" t="n">
        <v>46202</v>
      </c>
      <c r="I62" s="4" t="s">
        <v>663</v>
      </c>
      <c r="J62" s="3" t="s">
        <v>594</v>
      </c>
      <c r="K62" s="4"/>
      <c r="L62" s="3" t="s">
        <v>442</v>
      </c>
      <c r="M62" s="3" t="s">
        <v>509</v>
      </c>
      <c r="N62" s="3" t="s">
        <v>582</v>
      </c>
      <c r="O62" s="3" t="s">
        <v>583</v>
      </c>
      <c r="P62" s="8" t="s">
        <v>27</v>
      </c>
      <c r="Q62" s="3"/>
    </row>
    <row r="63" customFormat="false" ht="113.4" hidden="false" customHeight="false" outlineLevel="0" collapsed="false">
      <c r="A63" s="17" t="s">
        <v>105</v>
      </c>
      <c r="B63" s="4" t="s">
        <v>459</v>
      </c>
      <c r="C63" s="10" t="n">
        <v>3</v>
      </c>
      <c r="D63" s="3" t="s">
        <v>461</v>
      </c>
      <c r="E63" s="3" t="s">
        <v>592</v>
      </c>
      <c r="F63" s="3" t="s">
        <v>501</v>
      </c>
      <c r="G63" s="3" t="s">
        <v>664</v>
      </c>
      <c r="H63" s="5" t="n">
        <v>46197</v>
      </c>
      <c r="I63" s="4" t="s">
        <v>665</v>
      </c>
      <c r="J63" s="3" t="s">
        <v>594</v>
      </c>
      <c r="K63" s="4"/>
      <c r="L63" s="3" t="s">
        <v>460</v>
      </c>
      <c r="M63" s="3" t="s">
        <v>509</v>
      </c>
      <c r="N63" s="3" t="s">
        <v>600</v>
      </c>
      <c r="O63" s="3" t="s">
        <v>601</v>
      </c>
      <c r="P63" s="8" t="s">
        <v>27</v>
      </c>
      <c r="Q63" s="3"/>
    </row>
    <row r="64" customFormat="false" ht="46.25" hidden="false" customHeight="false" outlineLevel="0" collapsed="false">
      <c r="A64" s="17" t="s">
        <v>105</v>
      </c>
      <c r="B64" s="4" t="s">
        <v>459</v>
      </c>
      <c r="C64" s="10" t="n">
        <v>3</v>
      </c>
      <c r="D64" s="3" t="s">
        <v>429</v>
      </c>
      <c r="E64" s="3" t="s">
        <v>592</v>
      </c>
      <c r="F64" s="3" t="s">
        <v>561</v>
      </c>
      <c r="G64" s="3"/>
      <c r="H64" s="5" t="n">
        <v>46192</v>
      </c>
      <c r="I64" s="4" t="s">
        <v>666</v>
      </c>
      <c r="J64" s="3" t="s">
        <v>594</v>
      </c>
      <c r="K64" s="4" t="s">
        <v>551</v>
      </c>
      <c r="L64" s="3" t="s">
        <v>428</v>
      </c>
      <c r="M64" s="3" t="s">
        <v>509</v>
      </c>
      <c r="N64" s="3"/>
      <c r="O64" s="3" t="s">
        <v>552</v>
      </c>
      <c r="P64" s="8" t="s">
        <v>27</v>
      </c>
      <c r="Q64" s="3"/>
    </row>
    <row r="65" customFormat="false" ht="68.65" hidden="false" customHeight="false" outlineLevel="0" collapsed="false">
      <c r="A65" s="17" t="s">
        <v>105</v>
      </c>
      <c r="B65" s="4" t="s">
        <v>459</v>
      </c>
      <c r="C65" s="10" t="n">
        <v>3</v>
      </c>
      <c r="D65" s="3" t="s">
        <v>481</v>
      </c>
      <c r="E65" s="3" t="s">
        <v>592</v>
      </c>
      <c r="F65" s="3" t="s">
        <v>667</v>
      </c>
      <c r="G65" s="3"/>
      <c r="H65" s="5" t="n">
        <v>46188</v>
      </c>
      <c r="I65" s="4" t="s">
        <v>668</v>
      </c>
      <c r="J65" s="3" t="s">
        <v>594</v>
      </c>
      <c r="K65" s="4"/>
      <c r="L65" s="3" t="s">
        <v>480</v>
      </c>
      <c r="M65" s="3" t="s">
        <v>509</v>
      </c>
      <c r="N65" s="3"/>
      <c r="O65" s="3" t="s">
        <v>669</v>
      </c>
      <c r="P65" s="8" t="s">
        <v>27</v>
      </c>
      <c r="Q65" s="3"/>
    </row>
    <row r="66" customFormat="false" ht="46.25" hidden="false" customHeight="false" outlineLevel="0" collapsed="false">
      <c r="A66" s="17" t="s">
        <v>105</v>
      </c>
      <c r="B66" s="4" t="s">
        <v>459</v>
      </c>
      <c r="C66" s="10" t="n">
        <v>3</v>
      </c>
      <c r="D66" s="3" t="s">
        <v>432</v>
      </c>
      <c r="E66" s="3" t="s">
        <v>592</v>
      </c>
      <c r="F66" s="3" t="s">
        <v>608</v>
      </c>
      <c r="G66" s="3"/>
      <c r="H66" s="5" t="n">
        <v>46183</v>
      </c>
      <c r="I66" s="4" t="s">
        <v>670</v>
      </c>
      <c r="J66" s="3" t="s">
        <v>594</v>
      </c>
      <c r="K66" s="4" t="s">
        <v>554</v>
      </c>
      <c r="L66" s="3" t="s">
        <v>431</v>
      </c>
      <c r="M66" s="3" t="s">
        <v>515</v>
      </c>
      <c r="N66" s="3" t="s">
        <v>555</v>
      </c>
      <c r="O66" s="3" t="s">
        <v>556</v>
      </c>
      <c r="P66" s="8" t="s">
        <v>27</v>
      </c>
      <c r="Q66" s="3"/>
    </row>
    <row r="67" customFormat="false" ht="124.6" hidden="false" customHeight="false" outlineLevel="0" collapsed="false">
      <c r="A67" s="17" t="s">
        <v>105</v>
      </c>
      <c r="B67" s="4" t="s">
        <v>459</v>
      </c>
      <c r="C67" s="10" t="n">
        <v>3</v>
      </c>
      <c r="D67" s="3" t="s">
        <v>467</v>
      </c>
      <c r="E67" s="3" t="s">
        <v>592</v>
      </c>
      <c r="F67" s="3" t="s">
        <v>573</v>
      </c>
      <c r="G67" s="3" t="s">
        <v>671</v>
      </c>
      <c r="H67" s="5" t="n">
        <v>46177</v>
      </c>
      <c r="I67" s="4" t="s">
        <v>672</v>
      </c>
      <c r="J67" s="3" t="s">
        <v>594</v>
      </c>
      <c r="K67" s="4"/>
      <c r="L67" s="3" t="s">
        <v>466</v>
      </c>
      <c r="M67" s="3" t="s">
        <v>509</v>
      </c>
      <c r="N67" s="3"/>
      <c r="O67" s="3" t="s">
        <v>619</v>
      </c>
      <c r="P67" s="8" t="s">
        <v>27</v>
      </c>
      <c r="Q67" s="3"/>
    </row>
    <row r="68" customFormat="false" ht="57.45" hidden="false" customHeight="false" outlineLevel="0" collapsed="false">
      <c r="A68" s="17" t="s">
        <v>105</v>
      </c>
      <c r="B68" s="4" t="s">
        <v>459</v>
      </c>
      <c r="C68" s="10" t="n">
        <v>3</v>
      </c>
      <c r="D68" s="3" t="s">
        <v>434</v>
      </c>
      <c r="E68" s="3" t="s">
        <v>592</v>
      </c>
      <c r="F68" s="3" t="s">
        <v>506</v>
      </c>
      <c r="G68" s="3"/>
      <c r="H68" s="5" t="n">
        <v>46174</v>
      </c>
      <c r="I68" s="4" t="s">
        <v>673</v>
      </c>
      <c r="J68" s="3" t="s">
        <v>594</v>
      </c>
      <c r="K68" s="4" t="s">
        <v>564</v>
      </c>
      <c r="L68" s="3" t="s">
        <v>433</v>
      </c>
      <c r="M68" s="3" t="s">
        <v>515</v>
      </c>
      <c r="N68" s="3" t="s">
        <v>565</v>
      </c>
      <c r="O68" s="3" t="s">
        <v>566</v>
      </c>
      <c r="P68" s="8" t="s">
        <v>27</v>
      </c>
      <c r="Q68" s="3"/>
    </row>
    <row r="69" customFormat="false" ht="68.65" hidden="false" customHeight="false" outlineLevel="0" collapsed="false">
      <c r="A69" s="17" t="s">
        <v>105</v>
      </c>
      <c r="B69" s="4" t="s">
        <v>459</v>
      </c>
      <c r="C69" s="10" t="n">
        <v>3</v>
      </c>
      <c r="D69" s="3" t="s">
        <v>336</v>
      </c>
      <c r="E69" s="3" t="s">
        <v>592</v>
      </c>
      <c r="F69" s="3" t="s">
        <v>584</v>
      </c>
      <c r="G69" s="3"/>
      <c r="H69" s="5" t="n">
        <v>46174</v>
      </c>
      <c r="I69" s="4" t="s">
        <v>674</v>
      </c>
      <c r="J69" s="3" t="s">
        <v>594</v>
      </c>
      <c r="K69" s="4"/>
      <c r="L69" s="3" t="s">
        <v>335</v>
      </c>
      <c r="M69" s="3" t="s">
        <v>509</v>
      </c>
      <c r="N69" s="3" t="s">
        <v>537</v>
      </c>
      <c r="O69" s="3" t="s">
        <v>538</v>
      </c>
      <c r="P69" s="8" t="s">
        <v>27</v>
      </c>
      <c r="Q69" s="3"/>
    </row>
    <row r="70" customFormat="false" ht="35.05" hidden="false" customHeight="false" outlineLevel="0" collapsed="false">
      <c r="A70" s="17" t="s">
        <v>105</v>
      </c>
      <c r="B70" s="4" t="s">
        <v>484</v>
      </c>
      <c r="C70" s="11" t="n">
        <v>4</v>
      </c>
      <c r="D70" s="3" t="s">
        <v>612</v>
      </c>
      <c r="E70" s="3" t="s">
        <v>675</v>
      </c>
      <c r="F70" s="3" t="s">
        <v>501</v>
      </c>
      <c r="G70" s="3"/>
      <c r="H70" s="5" t="n">
        <v>46302</v>
      </c>
      <c r="I70" s="4" t="s">
        <v>676</v>
      </c>
      <c r="J70" s="3" t="s">
        <v>677</v>
      </c>
      <c r="K70" s="4"/>
      <c r="L70" s="3"/>
      <c r="M70" s="3"/>
      <c r="N70" s="3"/>
      <c r="O70" s="3"/>
      <c r="P70" s="8" t="s">
        <v>27</v>
      </c>
      <c r="Q70" s="3"/>
    </row>
    <row r="71" customFormat="false" ht="102.2" hidden="false" customHeight="false" outlineLevel="0" collapsed="false">
      <c r="A71" s="17" t="s">
        <v>105</v>
      </c>
      <c r="B71" s="4" t="s">
        <v>484</v>
      </c>
      <c r="C71" s="11" t="n">
        <v>4</v>
      </c>
      <c r="D71" s="3" t="s">
        <v>463</v>
      </c>
      <c r="E71" s="3" t="s">
        <v>675</v>
      </c>
      <c r="F71" s="3" t="s">
        <v>608</v>
      </c>
      <c r="G71" s="3" t="s">
        <v>678</v>
      </c>
      <c r="H71" s="5" t="n">
        <v>46289</v>
      </c>
      <c r="I71" s="4" t="s">
        <v>679</v>
      </c>
      <c r="J71" s="3" t="s">
        <v>677</v>
      </c>
      <c r="K71" s="4"/>
      <c r="L71" s="3" t="s">
        <v>462</v>
      </c>
      <c r="M71" s="3" t="s">
        <v>509</v>
      </c>
      <c r="N71" s="3" t="s">
        <v>606</v>
      </c>
      <c r="O71" s="3" t="s">
        <v>607</v>
      </c>
      <c r="P71" s="8" t="s">
        <v>27</v>
      </c>
      <c r="Q71" s="3"/>
    </row>
    <row r="72" customFormat="false" ht="91" hidden="false" customHeight="false" outlineLevel="0" collapsed="false">
      <c r="A72" s="17" t="s">
        <v>105</v>
      </c>
      <c r="B72" s="4" t="s">
        <v>484</v>
      </c>
      <c r="C72" s="11" t="n">
        <v>4</v>
      </c>
      <c r="D72" s="3" t="s">
        <v>483</v>
      </c>
      <c r="E72" s="3" t="s">
        <v>675</v>
      </c>
      <c r="F72" s="3" t="s">
        <v>667</v>
      </c>
      <c r="G72" s="3" t="s">
        <v>680</v>
      </c>
      <c r="H72" s="5" t="n">
        <v>46281</v>
      </c>
      <c r="I72" s="4" t="s">
        <v>681</v>
      </c>
      <c r="J72" s="3" t="s">
        <v>677</v>
      </c>
      <c r="K72" s="4"/>
      <c r="L72" s="3" t="s">
        <v>482</v>
      </c>
      <c r="M72" s="3" t="s">
        <v>509</v>
      </c>
      <c r="N72" s="3" t="s">
        <v>682</v>
      </c>
      <c r="O72" s="3" t="s">
        <v>683</v>
      </c>
      <c r="P72" s="8" t="s">
        <v>27</v>
      </c>
      <c r="Q72" s="3"/>
    </row>
    <row r="73" customFormat="false" ht="113.4" hidden="false" customHeight="false" outlineLevel="0" collapsed="false">
      <c r="A73" s="17" t="s">
        <v>105</v>
      </c>
      <c r="B73" s="4" t="s">
        <v>484</v>
      </c>
      <c r="C73" s="11" t="n">
        <v>4</v>
      </c>
      <c r="D73" s="3" t="s">
        <v>339</v>
      </c>
      <c r="E73" s="3" t="s">
        <v>675</v>
      </c>
      <c r="F73" s="3" t="s">
        <v>506</v>
      </c>
      <c r="G73" s="3" t="s">
        <v>684</v>
      </c>
      <c r="H73" s="5" t="n">
        <v>46273</v>
      </c>
      <c r="I73" s="4" t="s">
        <v>685</v>
      </c>
      <c r="J73" s="3" t="s">
        <v>677</v>
      </c>
      <c r="K73" s="4"/>
      <c r="L73" s="3" t="s">
        <v>338</v>
      </c>
      <c r="M73" s="3" t="s">
        <v>509</v>
      </c>
      <c r="N73" s="3" t="s">
        <v>542</v>
      </c>
      <c r="O73" s="3" t="s">
        <v>543</v>
      </c>
      <c r="P73" s="8" t="s">
        <v>27</v>
      </c>
      <c r="Q73" s="3"/>
    </row>
    <row r="74" customFormat="false" ht="91" hidden="false" customHeight="false" outlineLevel="0" collapsed="false">
      <c r="A74" s="17" t="s">
        <v>105</v>
      </c>
      <c r="B74" s="4" t="s">
        <v>484</v>
      </c>
      <c r="C74" s="11" t="n">
        <v>4</v>
      </c>
      <c r="D74" s="3" t="s">
        <v>327</v>
      </c>
      <c r="E74" s="3" t="s">
        <v>675</v>
      </c>
      <c r="F74" s="3" t="s">
        <v>501</v>
      </c>
      <c r="G74" s="3" t="s">
        <v>686</v>
      </c>
      <c r="H74" s="5" t="n">
        <v>46269</v>
      </c>
      <c r="I74" s="4" t="s">
        <v>687</v>
      </c>
      <c r="J74" s="3" t="s">
        <v>677</v>
      </c>
      <c r="K74" s="4" t="s">
        <v>522</v>
      </c>
      <c r="L74" s="3" t="s">
        <v>326</v>
      </c>
      <c r="M74" s="3" t="s">
        <v>509</v>
      </c>
      <c r="N74" s="3" t="s">
        <v>523</v>
      </c>
      <c r="O74" s="3" t="s">
        <v>524</v>
      </c>
      <c r="P74" s="8" t="s">
        <v>27</v>
      </c>
      <c r="Q74" s="3"/>
    </row>
    <row r="75" customFormat="false" ht="23.85" hidden="false" customHeight="false" outlineLevel="0" collapsed="false">
      <c r="A75" s="17" t="s">
        <v>105</v>
      </c>
      <c r="B75" s="4" t="s">
        <v>484</v>
      </c>
      <c r="C75" s="11" t="n">
        <v>4</v>
      </c>
      <c r="D75" s="3" t="s">
        <v>479</v>
      </c>
      <c r="E75" s="3" t="s">
        <v>675</v>
      </c>
      <c r="F75" s="3" t="s">
        <v>501</v>
      </c>
      <c r="G75" s="3"/>
      <c r="H75" s="5" t="n">
        <v>46266</v>
      </c>
      <c r="I75" s="4" t="s">
        <v>688</v>
      </c>
      <c r="J75" s="3" t="s">
        <v>677</v>
      </c>
      <c r="K75" s="4"/>
      <c r="L75" s="3" t="s">
        <v>478</v>
      </c>
      <c r="M75" s="3" t="s">
        <v>509</v>
      </c>
      <c r="N75" s="3" t="s">
        <v>659</v>
      </c>
      <c r="O75" s="3" t="s">
        <v>660</v>
      </c>
      <c r="P75" s="8" t="s">
        <v>27</v>
      </c>
      <c r="Q75" s="3"/>
    </row>
    <row r="76" customFormat="false" ht="102.2" hidden="false" customHeight="false" outlineLevel="0" collapsed="false">
      <c r="A76" s="17" t="s">
        <v>105</v>
      </c>
      <c r="B76" s="4" t="s">
        <v>484</v>
      </c>
      <c r="C76" s="11" t="n">
        <v>4</v>
      </c>
      <c r="D76" s="3" t="s">
        <v>429</v>
      </c>
      <c r="E76" s="3" t="s">
        <v>675</v>
      </c>
      <c r="F76" s="3" t="s">
        <v>501</v>
      </c>
      <c r="G76" s="3" t="s">
        <v>689</v>
      </c>
      <c r="H76" s="5" t="n">
        <v>46260</v>
      </c>
      <c r="I76" s="4" t="s">
        <v>690</v>
      </c>
      <c r="J76" s="3" t="s">
        <v>677</v>
      </c>
      <c r="K76" s="4" t="s">
        <v>551</v>
      </c>
      <c r="L76" s="3" t="s">
        <v>428</v>
      </c>
      <c r="M76" s="3" t="s">
        <v>509</v>
      </c>
      <c r="N76" s="3"/>
      <c r="O76" s="3" t="s">
        <v>552</v>
      </c>
      <c r="P76" s="8" t="s">
        <v>27</v>
      </c>
      <c r="Q76" s="3"/>
    </row>
    <row r="77" customFormat="false" ht="79.85" hidden="false" customHeight="false" outlineLevel="0" collapsed="false">
      <c r="A77" s="17" t="s">
        <v>105</v>
      </c>
      <c r="B77" s="4" t="s">
        <v>484</v>
      </c>
      <c r="C77" s="11" t="n">
        <v>4</v>
      </c>
      <c r="D77" s="3" t="s">
        <v>443</v>
      </c>
      <c r="E77" s="3" t="s">
        <v>675</v>
      </c>
      <c r="F77" s="3" t="s">
        <v>691</v>
      </c>
      <c r="G77" s="3" t="s">
        <v>692</v>
      </c>
      <c r="H77" s="5" t="n">
        <v>46260</v>
      </c>
      <c r="I77" s="4" t="s">
        <v>693</v>
      </c>
      <c r="J77" s="3" t="s">
        <v>677</v>
      </c>
      <c r="K77" s="4"/>
      <c r="L77" s="3" t="s">
        <v>442</v>
      </c>
      <c r="M77" s="3" t="s">
        <v>509</v>
      </c>
      <c r="N77" s="3" t="s">
        <v>582</v>
      </c>
      <c r="O77" s="3" t="s">
        <v>583</v>
      </c>
      <c r="P77" s="8" t="s">
        <v>27</v>
      </c>
      <c r="Q77" s="3"/>
    </row>
    <row r="78" customFormat="false" ht="79.85" hidden="false" customHeight="false" outlineLevel="0" collapsed="false">
      <c r="A78" s="17" t="s">
        <v>105</v>
      </c>
      <c r="B78" s="4" t="s">
        <v>484</v>
      </c>
      <c r="C78" s="11" t="n">
        <v>4</v>
      </c>
      <c r="D78" s="3" t="s">
        <v>336</v>
      </c>
      <c r="E78" s="3" t="s">
        <v>675</v>
      </c>
      <c r="F78" s="3" t="s">
        <v>501</v>
      </c>
      <c r="G78" s="3" t="s">
        <v>694</v>
      </c>
      <c r="H78" s="5" t="n">
        <v>46255</v>
      </c>
      <c r="I78" s="4" t="s">
        <v>695</v>
      </c>
      <c r="J78" s="3" t="s">
        <v>677</v>
      </c>
      <c r="K78" s="4"/>
      <c r="L78" s="3" t="s">
        <v>335</v>
      </c>
      <c r="M78" s="3" t="s">
        <v>509</v>
      </c>
      <c r="N78" s="3" t="s">
        <v>537</v>
      </c>
      <c r="O78" s="3" t="s">
        <v>538</v>
      </c>
      <c r="P78" s="8" t="s">
        <v>27</v>
      </c>
      <c r="Q78" s="3"/>
    </row>
    <row r="79" customFormat="false" ht="113.4" hidden="false" customHeight="false" outlineLevel="0" collapsed="false">
      <c r="A79" s="17" t="s">
        <v>105</v>
      </c>
      <c r="B79" s="4" t="s">
        <v>484</v>
      </c>
      <c r="C79" s="11" t="n">
        <v>4</v>
      </c>
      <c r="D79" s="3" t="s">
        <v>429</v>
      </c>
      <c r="E79" s="3" t="s">
        <v>675</v>
      </c>
      <c r="F79" s="3" t="s">
        <v>584</v>
      </c>
      <c r="G79" s="3" t="s">
        <v>696</v>
      </c>
      <c r="H79" s="5" t="n">
        <v>46247</v>
      </c>
      <c r="I79" s="4" t="s">
        <v>697</v>
      </c>
      <c r="J79" s="3" t="s">
        <v>677</v>
      </c>
      <c r="K79" s="4" t="s">
        <v>551</v>
      </c>
      <c r="L79" s="3" t="s">
        <v>428</v>
      </c>
      <c r="M79" s="3" t="s">
        <v>509</v>
      </c>
      <c r="N79" s="3"/>
      <c r="O79" s="3" t="s">
        <v>552</v>
      </c>
      <c r="P79" s="8" t="s">
        <v>27</v>
      </c>
      <c r="Q79" s="3"/>
    </row>
    <row r="80" customFormat="false" ht="46.25" hidden="false" customHeight="false" outlineLevel="0" collapsed="false">
      <c r="A80" s="17" t="s">
        <v>105</v>
      </c>
      <c r="B80" s="4" t="s">
        <v>484</v>
      </c>
      <c r="C80" s="11" t="n">
        <v>4</v>
      </c>
      <c r="D80" s="3" t="s">
        <v>336</v>
      </c>
      <c r="E80" s="3" t="s">
        <v>675</v>
      </c>
      <c r="F80" s="3" t="s">
        <v>608</v>
      </c>
      <c r="G80" s="3" t="s">
        <v>698</v>
      </c>
      <c r="H80" s="5" t="n">
        <v>46231</v>
      </c>
      <c r="I80" s="4" t="s">
        <v>699</v>
      </c>
      <c r="J80" s="3" t="s">
        <v>677</v>
      </c>
      <c r="K80" s="4"/>
      <c r="L80" s="3" t="s">
        <v>335</v>
      </c>
      <c r="M80" s="3" t="s">
        <v>509</v>
      </c>
      <c r="N80" s="3" t="s">
        <v>537</v>
      </c>
      <c r="O80" s="3" t="s">
        <v>538</v>
      </c>
      <c r="P80" s="8" t="s">
        <v>27</v>
      </c>
      <c r="Q80" s="3"/>
    </row>
    <row r="81" customFormat="false" ht="23.85" hidden="false" customHeight="false" outlineLevel="0" collapsed="false">
      <c r="A81" s="17" t="s">
        <v>105</v>
      </c>
      <c r="B81" s="4" t="s">
        <v>484</v>
      </c>
      <c r="C81" s="11" t="n">
        <v>4</v>
      </c>
      <c r="D81" s="3" t="s">
        <v>73</v>
      </c>
      <c r="E81" s="3" t="s">
        <v>675</v>
      </c>
      <c r="F81" s="3" t="s">
        <v>506</v>
      </c>
      <c r="G81" s="3"/>
      <c r="H81" s="5" t="n">
        <v>46219</v>
      </c>
      <c r="I81" s="4" t="s">
        <v>700</v>
      </c>
      <c r="J81" s="3" t="s">
        <v>677</v>
      </c>
      <c r="K81" s="4"/>
      <c r="L81" s="3" t="s">
        <v>485</v>
      </c>
      <c r="M81" s="3" t="s">
        <v>509</v>
      </c>
      <c r="N81" s="3" t="s">
        <v>701</v>
      </c>
      <c r="O81" s="3" t="s">
        <v>702</v>
      </c>
      <c r="P81" s="8" t="s">
        <v>27</v>
      </c>
      <c r="Q81" s="3"/>
    </row>
    <row r="82" customFormat="false" ht="35.05" hidden="false" customHeight="false" outlineLevel="0" collapsed="false">
      <c r="A82" s="17" t="s">
        <v>105</v>
      </c>
      <c r="B82" s="4" t="s">
        <v>484</v>
      </c>
      <c r="C82" s="11" t="n">
        <v>4</v>
      </c>
      <c r="D82" s="3" t="s">
        <v>320</v>
      </c>
      <c r="E82" s="3" t="s">
        <v>675</v>
      </c>
      <c r="F82" s="3" t="s">
        <v>506</v>
      </c>
      <c r="G82" s="3"/>
      <c r="H82" s="5" t="n">
        <v>46216</v>
      </c>
      <c r="I82" s="4" t="s">
        <v>703</v>
      </c>
      <c r="J82" s="3" t="s">
        <v>677</v>
      </c>
      <c r="K82" s="4" t="s">
        <v>508</v>
      </c>
      <c r="L82" s="3" t="s">
        <v>319</v>
      </c>
      <c r="M82" s="3" t="s">
        <v>509</v>
      </c>
      <c r="N82" s="3" t="s">
        <v>510</v>
      </c>
      <c r="O82" s="3" t="s">
        <v>511</v>
      </c>
      <c r="P82" s="8" t="s">
        <v>27</v>
      </c>
      <c r="Q82" s="3"/>
    </row>
    <row r="83" customFormat="false" ht="91" hidden="false" customHeight="false" outlineLevel="0" collapsed="false">
      <c r="A83" s="17" t="s">
        <v>105</v>
      </c>
      <c r="B83" s="4" t="s">
        <v>484</v>
      </c>
      <c r="C83" s="11" t="n">
        <v>4</v>
      </c>
      <c r="D83" s="3" t="s">
        <v>443</v>
      </c>
      <c r="E83" s="3" t="s">
        <v>675</v>
      </c>
      <c r="F83" s="3" t="s">
        <v>506</v>
      </c>
      <c r="G83" s="3" t="s">
        <v>704</v>
      </c>
      <c r="H83" s="5" t="n">
        <v>46213</v>
      </c>
      <c r="I83" s="4" t="s">
        <v>705</v>
      </c>
      <c r="J83" s="3" t="s">
        <v>677</v>
      </c>
      <c r="K83" s="4"/>
      <c r="L83" s="3" t="s">
        <v>442</v>
      </c>
      <c r="M83" s="3" t="s">
        <v>509</v>
      </c>
      <c r="N83" s="3" t="s">
        <v>582</v>
      </c>
      <c r="O83" s="3" t="s">
        <v>583</v>
      </c>
      <c r="P83" s="8" t="s">
        <v>27</v>
      </c>
      <c r="Q83" s="3"/>
    </row>
    <row r="84" customFormat="false" ht="102.2" hidden="false" customHeight="false" outlineLevel="0" collapsed="false">
      <c r="A84" s="17" t="s">
        <v>105</v>
      </c>
      <c r="B84" s="4" t="s">
        <v>484</v>
      </c>
      <c r="C84" s="11" t="n">
        <v>4</v>
      </c>
      <c r="D84" s="3" t="s">
        <v>483</v>
      </c>
      <c r="E84" s="3" t="s">
        <v>675</v>
      </c>
      <c r="F84" s="3" t="s">
        <v>667</v>
      </c>
      <c r="G84" s="3"/>
      <c r="H84" s="5" t="n">
        <v>46197</v>
      </c>
      <c r="I84" s="4" t="s">
        <v>706</v>
      </c>
      <c r="J84" s="3" t="s">
        <v>677</v>
      </c>
      <c r="K84" s="4"/>
      <c r="L84" s="3" t="s">
        <v>482</v>
      </c>
      <c r="M84" s="3" t="s">
        <v>509</v>
      </c>
      <c r="N84" s="3" t="s">
        <v>682</v>
      </c>
      <c r="O84" s="3" t="s">
        <v>683</v>
      </c>
      <c r="P84" s="8" t="s">
        <v>27</v>
      </c>
      <c r="Q84" s="3"/>
    </row>
    <row r="85" customFormat="false" ht="113.4" hidden="false" customHeight="false" outlineLevel="0" collapsed="false">
      <c r="A85" s="17" t="s">
        <v>105</v>
      </c>
      <c r="B85" s="4" t="s">
        <v>484</v>
      </c>
      <c r="C85" s="11" t="n">
        <v>4</v>
      </c>
      <c r="D85" s="3" t="s">
        <v>339</v>
      </c>
      <c r="E85" s="3" t="s">
        <v>675</v>
      </c>
      <c r="F85" s="3" t="s">
        <v>506</v>
      </c>
      <c r="G85" s="3" t="s">
        <v>707</v>
      </c>
      <c r="H85" s="5" t="n">
        <v>46182</v>
      </c>
      <c r="I85" s="4" t="s">
        <v>708</v>
      </c>
      <c r="J85" s="3" t="s">
        <v>677</v>
      </c>
      <c r="K85" s="4"/>
      <c r="L85" s="3" t="s">
        <v>338</v>
      </c>
      <c r="M85" s="3" t="s">
        <v>509</v>
      </c>
      <c r="N85" s="3" t="s">
        <v>542</v>
      </c>
      <c r="O85" s="3" t="s">
        <v>543</v>
      </c>
      <c r="P85" s="8" t="s">
        <v>27</v>
      </c>
      <c r="Q85" s="3"/>
    </row>
    <row r="86" customFormat="false" ht="35.05" hidden="false" customHeight="false" outlineLevel="0" collapsed="false">
      <c r="A86" s="17" t="s">
        <v>105</v>
      </c>
      <c r="B86" s="4" t="s">
        <v>484</v>
      </c>
      <c r="C86" s="11" t="n">
        <v>4</v>
      </c>
      <c r="D86" s="3" t="s">
        <v>73</v>
      </c>
      <c r="E86" s="3" t="s">
        <v>675</v>
      </c>
      <c r="F86" s="3" t="s">
        <v>608</v>
      </c>
      <c r="G86" s="3"/>
      <c r="H86" s="5" t="n">
        <v>46182</v>
      </c>
      <c r="I86" s="4" t="s">
        <v>709</v>
      </c>
      <c r="J86" s="3" t="s">
        <v>677</v>
      </c>
      <c r="K86" s="4"/>
      <c r="L86" s="3" t="s">
        <v>485</v>
      </c>
      <c r="M86" s="3" t="s">
        <v>509</v>
      </c>
      <c r="N86" s="3" t="s">
        <v>701</v>
      </c>
      <c r="O86" s="3" t="s">
        <v>702</v>
      </c>
      <c r="P86" s="8" t="s">
        <v>27</v>
      </c>
      <c r="Q86" s="3"/>
    </row>
  </sheetData>
  <autoFilter ref="A1:O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8"/>
    <col collapsed="false" customWidth="true" hidden="false" outlineLevel="0" max="3" min="3" style="0" width="22"/>
    <col collapsed="false" customWidth="true" hidden="false" outlineLevel="0" max="6" min="4" style="0" width="14"/>
    <col collapsed="false" customWidth="true" hidden="false" outlineLevel="0" max="7" min="7" style="0" width="40"/>
    <col collapsed="false" customWidth="true" hidden="false" outlineLevel="0" max="8" min="8" style="0" width="60"/>
    <col collapsed="false" customWidth="true" hidden="false" outlineLevel="0" max="9" min="9" style="0" width="30"/>
    <col collapsed="false" customWidth="true" hidden="false" outlineLevel="0" max="10" min="10" style="0" width="24"/>
    <col collapsed="false" customWidth="true" hidden="false" outlineLevel="0" max="11" min="11" style="0" width="22"/>
    <col collapsed="false" customWidth="true" hidden="false" outlineLevel="0" max="14" min="12" style="0" width="14"/>
  </cols>
  <sheetData>
    <row r="1" customFormat="false" ht="35.05" hidden="false" customHeight="false" outlineLevel="0" collapsed="false">
      <c r="A1" s="13" t="s">
        <v>0</v>
      </c>
      <c r="B1" s="13" t="s">
        <v>14</v>
      </c>
      <c r="C1" s="1" t="s">
        <v>710</v>
      </c>
      <c r="D1" s="1" t="s">
        <v>711</v>
      </c>
      <c r="E1" s="1" t="s">
        <v>488</v>
      </c>
      <c r="F1" s="1" t="s">
        <v>712</v>
      </c>
      <c r="G1" s="1" t="s">
        <v>713</v>
      </c>
      <c r="H1" s="1" t="s">
        <v>714</v>
      </c>
      <c r="I1" s="1" t="s">
        <v>2</v>
      </c>
      <c r="J1" s="1" t="s">
        <v>715</v>
      </c>
      <c r="K1" s="1" t="s">
        <v>494</v>
      </c>
      <c r="L1" s="1" t="s">
        <v>495</v>
      </c>
      <c r="M1" s="1" t="s">
        <v>496</v>
      </c>
      <c r="N1" s="1" t="s">
        <v>12</v>
      </c>
      <c r="O1" s="1" t="s">
        <v>15</v>
      </c>
      <c r="P1" s="1" t="s">
        <v>716</v>
      </c>
    </row>
    <row r="2" customFormat="false" ht="46.25" hidden="false" customHeight="false" outlineLevel="0" collapsed="false">
      <c r="A2" s="14" t="s">
        <v>17</v>
      </c>
      <c r="B2" s="4" t="s">
        <v>148</v>
      </c>
      <c r="C2" s="3" t="s">
        <v>146</v>
      </c>
      <c r="D2" s="3" t="s">
        <v>717</v>
      </c>
      <c r="E2" s="3" t="s">
        <v>539</v>
      </c>
      <c r="F2" s="6" t="n">
        <v>10796700</v>
      </c>
      <c r="G2" s="6" t="n">
        <v>9717030</v>
      </c>
      <c r="H2" s="3" t="s">
        <v>718</v>
      </c>
      <c r="I2" s="4" t="s">
        <v>719</v>
      </c>
      <c r="J2" s="4" t="s">
        <v>720</v>
      </c>
      <c r="K2" s="3" t="s">
        <v>145</v>
      </c>
      <c r="L2" s="3" t="s">
        <v>509</v>
      </c>
      <c r="M2" s="3" t="s">
        <v>721</v>
      </c>
      <c r="N2" s="3" t="s">
        <v>722</v>
      </c>
      <c r="O2" s="8" t="s">
        <v>27</v>
      </c>
      <c r="P2" s="3" t="s">
        <v>723</v>
      </c>
    </row>
    <row r="3" customFormat="false" ht="57.45" hidden="false" customHeight="false" outlineLevel="0" collapsed="false">
      <c r="A3" s="14" t="s">
        <v>17</v>
      </c>
      <c r="B3" s="4" t="s">
        <v>152</v>
      </c>
      <c r="C3" s="3" t="s">
        <v>151</v>
      </c>
      <c r="D3" s="3" t="s">
        <v>717</v>
      </c>
      <c r="E3" s="3" t="s">
        <v>501</v>
      </c>
      <c r="F3" s="6" t="n">
        <v>9168700</v>
      </c>
      <c r="G3" s="6" t="n">
        <v>8251830</v>
      </c>
      <c r="H3" s="3" t="s">
        <v>718</v>
      </c>
      <c r="I3" s="4" t="s">
        <v>724</v>
      </c>
      <c r="J3" s="4" t="s">
        <v>725</v>
      </c>
      <c r="K3" s="3" t="s">
        <v>150</v>
      </c>
      <c r="L3" s="3" t="s">
        <v>509</v>
      </c>
      <c r="M3" s="3"/>
      <c r="N3" s="3" t="s">
        <v>726</v>
      </c>
      <c r="O3" s="8" t="s">
        <v>27</v>
      </c>
      <c r="P3" s="3" t="s">
        <v>727</v>
      </c>
    </row>
    <row r="4" customFormat="false" ht="46.25" hidden="false" customHeight="false" outlineLevel="0" collapsed="false">
      <c r="A4" s="14" t="s">
        <v>17</v>
      </c>
      <c r="B4" s="4" t="s">
        <v>155</v>
      </c>
      <c r="C4" s="3" t="s">
        <v>154</v>
      </c>
      <c r="D4" s="3" t="s">
        <v>194</v>
      </c>
      <c r="E4" s="3" t="s">
        <v>539</v>
      </c>
      <c r="F4" s="6" t="n">
        <v>7782500</v>
      </c>
      <c r="G4" s="6" t="n">
        <v>7004250</v>
      </c>
      <c r="H4" s="3" t="s">
        <v>718</v>
      </c>
      <c r="I4" s="4" t="s">
        <v>728</v>
      </c>
      <c r="J4" s="4" t="s">
        <v>729</v>
      </c>
      <c r="K4" s="3" t="s">
        <v>153</v>
      </c>
      <c r="L4" s="3" t="s">
        <v>509</v>
      </c>
      <c r="M4" s="3"/>
      <c r="N4" s="3" t="s">
        <v>730</v>
      </c>
      <c r="O4" s="8" t="s">
        <v>27</v>
      </c>
      <c r="P4" s="3" t="s">
        <v>731</v>
      </c>
    </row>
    <row r="5" customFormat="false" ht="46.25" hidden="false" customHeight="false" outlineLevel="0" collapsed="false">
      <c r="A5" s="14" t="s">
        <v>17</v>
      </c>
      <c r="B5" s="4" t="s">
        <v>158</v>
      </c>
      <c r="C5" s="3" t="s">
        <v>157</v>
      </c>
      <c r="D5" s="3" t="s">
        <v>157</v>
      </c>
      <c r="E5" s="3" t="s">
        <v>667</v>
      </c>
      <c r="F5" s="6" t="n">
        <v>6495000</v>
      </c>
      <c r="G5" s="6" t="n">
        <v>5845500</v>
      </c>
      <c r="H5" s="3" t="s">
        <v>718</v>
      </c>
      <c r="I5" s="4" t="s">
        <v>732</v>
      </c>
      <c r="J5" s="4" t="s">
        <v>733</v>
      </c>
      <c r="K5" s="3" t="s">
        <v>156</v>
      </c>
      <c r="L5" s="3" t="s">
        <v>515</v>
      </c>
      <c r="M5" s="3" t="s">
        <v>734</v>
      </c>
      <c r="N5" s="3" t="s">
        <v>735</v>
      </c>
      <c r="O5" s="8" t="s">
        <v>27</v>
      </c>
      <c r="P5" s="3" t="s">
        <v>736</v>
      </c>
    </row>
    <row r="6" customFormat="false" ht="46.25" hidden="false" customHeight="false" outlineLevel="0" collapsed="false">
      <c r="A6" s="14" t="s">
        <v>17</v>
      </c>
      <c r="B6" s="4" t="s">
        <v>162</v>
      </c>
      <c r="C6" s="3" t="s">
        <v>161</v>
      </c>
      <c r="D6" s="3" t="s">
        <v>161</v>
      </c>
      <c r="E6" s="3" t="s">
        <v>667</v>
      </c>
      <c r="F6" s="6" t="n">
        <v>5933600</v>
      </c>
      <c r="G6" s="6" t="n">
        <v>5340240</v>
      </c>
      <c r="H6" s="3" t="s">
        <v>718</v>
      </c>
      <c r="I6" s="4" t="s">
        <v>737</v>
      </c>
      <c r="J6" s="4" t="s">
        <v>738</v>
      </c>
      <c r="K6" s="3" t="s">
        <v>160</v>
      </c>
      <c r="L6" s="3" t="s">
        <v>509</v>
      </c>
      <c r="M6" s="3" t="s">
        <v>739</v>
      </c>
      <c r="N6" s="3" t="s">
        <v>740</v>
      </c>
      <c r="O6" s="8" t="s">
        <v>27</v>
      </c>
      <c r="P6" s="3" t="s">
        <v>741</v>
      </c>
    </row>
    <row r="7" customFormat="false" ht="46.25" hidden="false" customHeight="false" outlineLevel="0" collapsed="false">
      <c r="A7" s="14" t="s">
        <v>17</v>
      </c>
      <c r="B7" s="4" t="s">
        <v>165</v>
      </c>
      <c r="C7" s="3" t="s">
        <v>164</v>
      </c>
      <c r="D7" s="3" t="s">
        <v>164</v>
      </c>
      <c r="E7" s="3" t="s">
        <v>584</v>
      </c>
      <c r="F7" s="6" t="n">
        <v>5430200</v>
      </c>
      <c r="G7" s="6" t="n">
        <v>4887180</v>
      </c>
      <c r="H7" s="3" t="s">
        <v>718</v>
      </c>
      <c r="I7" s="4" t="s">
        <v>742</v>
      </c>
      <c r="J7" s="4" t="s">
        <v>743</v>
      </c>
      <c r="K7" s="3" t="s">
        <v>163</v>
      </c>
      <c r="L7" s="3" t="s">
        <v>515</v>
      </c>
      <c r="M7" s="3" t="s">
        <v>744</v>
      </c>
      <c r="N7" s="3" t="s">
        <v>745</v>
      </c>
      <c r="O7" s="8" t="s">
        <v>27</v>
      </c>
      <c r="P7" s="3" t="s">
        <v>746</v>
      </c>
    </row>
    <row r="8" customFormat="false" ht="46.25" hidden="false" customHeight="false" outlineLevel="0" collapsed="false">
      <c r="A8" s="14" t="s">
        <v>17</v>
      </c>
      <c r="B8" s="4" t="s">
        <v>747</v>
      </c>
      <c r="C8" s="3" t="s">
        <v>437</v>
      </c>
      <c r="D8" s="3" t="s">
        <v>748</v>
      </c>
      <c r="E8" s="3" t="s">
        <v>501</v>
      </c>
      <c r="F8" s="6" t="n">
        <v>5418000</v>
      </c>
      <c r="G8" s="6" t="n">
        <v>4876200</v>
      </c>
      <c r="H8" s="3" t="s">
        <v>718</v>
      </c>
      <c r="I8" s="4" t="s">
        <v>749</v>
      </c>
      <c r="J8" s="4" t="s">
        <v>750</v>
      </c>
      <c r="K8" s="3" t="s">
        <v>436</v>
      </c>
      <c r="L8" s="3" t="s">
        <v>509</v>
      </c>
      <c r="M8" s="3" t="s">
        <v>570</v>
      </c>
      <c r="N8" s="3" t="s">
        <v>571</v>
      </c>
      <c r="O8" s="8" t="s">
        <v>27</v>
      </c>
      <c r="P8" s="3" t="s">
        <v>751</v>
      </c>
    </row>
    <row r="9" customFormat="false" ht="68.65" hidden="false" customHeight="false" outlineLevel="0" collapsed="false">
      <c r="A9" s="14" t="s">
        <v>17</v>
      </c>
      <c r="B9" s="4" t="s">
        <v>168</v>
      </c>
      <c r="C9" s="3" t="s">
        <v>167</v>
      </c>
      <c r="D9" s="3" t="s">
        <v>717</v>
      </c>
      <c r="E9" s="3" t="s">
        <v>501</v>
      </c>
      <c r="F9" s="6" t="n">
        <v>5259100</v>
      </c>
      <c r="G9" s="6" t="n">
        <v>4733190</v>
      </c>
      <c r="H9" s="3" t="s">
        <v>718</v>
      </c>
      <c r="I9" s="4" t="s">
        <v>752</v>
      </c>
      <c r="J9" s="4" t="s">
        <v>753</v>
      </c>
      <c r="K9" s="3" t="s">
        <v>166</v>
      </c>
      <c r="L9" s="3" t="s">
        <v>509</v>
      </c>
      <c r="M9" s="3" t="s">
        <v>754</v>
      </c>
      <c r="N9" s="3" t="s">
        <v>755</v>
      </c>
      <c r="O9" s="8" t="s">
        <v>27</v>
      </c>
      <c r="P9" s="3" t="s">
        <v>756</v>
      </c>
    </row>
    <row r="10" customFormat="false" ht="91" hidden="false" customHeight="false" outlineLevel="0" collapsed="false">
      <c r="A10" s="14" t="s">
        <v>17</v>
      </c>
      <c r="B10" s="4" t="s">
        <v>171</v>
      </c>
      <c r="C10" s="3" t="s">
        <v>170</v>
      </c>
      <c r="D10" s="3" t="s">
        <v>170</v>
      </c>
      <c r="E10" s="3" t="s">
        <v>573</v>
      </c>
      <c r="F10" s="6" t="n">
        <v>4535000</v>
      </c>
      <c r="G10" s="6" t="n">
        <v>4081500</v>
      </c>
      <c r="H10" s="3" t="s">
        <v>718</v>
      </c>
      <c r="I10" s="4" t="s">
        <v>757</v>
      </c>
      <c r="J10" s="4" t="s">
        <v>758</v>
      </c>
      <c r="K10" s="3" t="s">
        <v>169</v>
      </c>
      <c r="L10" s="3" t="s">
        <v>509</v>
      </c>
      <c r="M10" s="3" t="s">
        <v>759</v>
      </c>
      <c r="N10" s="3" t="s">
        <v>760</v>
      </c>
      <c r="O10" s="8" t="s">
        <v>27</v>
      </c>
      <c r="P10" s="3" t="s">
        <v>761</v>
      </c>
    </row>
    <row r="11" customFormat="false" ht="79.85" hidden="false" customHeight="false" outlineLevel="0" collapsed="false">
      <c r="A11" s="14" t="s">
        <v>17</v>
      </c>
      <c r="B11" s="4" t="s">
        <v>174</v>
      </c>
      <c r="C11" s="3" t="s">
        <v>173</v>
      </c>
      <c r="D11" s="3" t="s">
        <v>762</v>
      </c>
      <c r="E11" s="3" t="s">
        <v>539</v>
      </c>
      <c r="F11" s="6" t="n">
        <v>4412400</v>
      </c>
      <c r="G11" s="6" t="n">
        <v>3971160</v>
      </c>
      <c r="H11" s="3" t="s">
        <v>718</v>
      </c>
      <c r="I11" s="4" t="s">
        <v>728</v>
      </c>
      <c r="J11" s="4" t="s">
        <v>763</v>
      </c>
      <c r="K11" s="3" t="s">
        <v>172</v>
      </c>
      <c r="L11" s="3" t="s">
        <v>509</v>
      </c>
      <c r="M11" s="3" t="s">
        <v>764</v>
      </c>
      <c r="N11" s="3" t="s">
        <v>765</v>
      </c>
      <c r="O11" s="8" t="s">
        <v>27</v>
      </c>
      <c r="P11" s="3" t="s">
        <v>766</v>
      </c>
    </row>
    <row r="12" customFormat="false" ht="113.4" hidden="false" customHeight="false" outlineLevel="0" collapsed="false">
      <c r="A12" s="14" t="s">
        <v>17</v>
      </c>
      <c r="B12" s="4" t="s">
        <v>767</v>
      </c>
      <c r="C12" s="3" t="s">
        <v>768</v>
      </c>
      <c r="D12" s="3" t="s">
        <v>769</v>
      </c>
      <c r="E12" s="3" t="s">
        <v>770</v>
      </c>
      <c r="F12" s="6" t="n">
        <v>4395000</v>
      </c>
      <c r="G12" s="6" t="n">
        <v>3955500</v>
      </c>
      <c r="H12" s="3" t="s">
        <v>718</v>
      </c>
      <c r="I12" s="4" t="s">
        <v>771</v>
      </c>
      <c r="J12" s="4" t="s">
        <v>772</v>
      </c>
      <c r="K12" s="3"/>
      <c r="L12" s="3"/>
      <c r="M12" s="3"/>
      <c r="N12" s="3"/>
      <c r="O12" s="8" t="s">
        <v>27</v>
      </c>
      <c r="P12" s="3" t="s">
        <v>773</v>
      </c>
    </row>
    <row r="13" customFormat="false" ht="46.25" hidden="false" customHeight="false" outlineLevel="0" collapsed="false">
      <c r="A13" s="14" t="s">
        <v>17</v>
      </c>
      <c r="B13" s="4" t="s">
        <v>774</v>
      </c>
      <c r="C13" s="3" t="s">
        <v>471</v>
      </c>
      <c r="D13" s="3" t="s">
        <v>278</v>
      </c>
      <c r="E13" s="3" t="s">
        <v>501</v>
      </c>
      <c r="F13" s="6" t="n">
        <v>4134700</v>
      </c>
      <c r="G13" s="6" t="n">
        <v>3721230</v>
      </c>
      <c r="H13" s="3" t="s">
        <v>718</v>
      </c>
      <c r="I13" s="4" t="s">
        <v>775</v>
      </c>
      <c r="J13" s="4" t="s">
        <v>776</v>
      </c>
      <c r="K13" s="3" t="s">
        <v>470</v>
      </c>
      <c r="L13" s="3" t="s">
        <v>509</v>
      </c>
      <c r="M13" s="3" t="s">
        <v>627</v>
      </c>
      <c r="N13" s="3" t="s">
        <v>628</v>
      </c>
      <c r="O13" s="8" t="s">
        <v>27</v>
      </c>
      <c r="P13" s="3" t="s">
        <v>777</v>
      </c>
    </row>
    <row r="14" customFormat="false" ht="79.85" hidden="false" customHeight="false" outlineLevel="0" collapsed="false">
      <c r="A14" s="14" t="s">
        <v>17</v>
      </c>
      <c r="B14" s="4" t="s">
        <v>778</v>
      </c>
      <c r="C14" s="3" t="s">
        <v>499</v>
      </c>
      <c r="D14" s="3" t="s">
        <v>224</v>
      </c>
      <c r="E14" s="3" t="s">
        <v>501</v>
      </c>
      <c r="F14" s="6" t="n">
        <v>3576000</v>
      </c>
      <c r="G14" s="6" t="n">
        <v>3218400</v>
      </c>
      <c r="H14" s="3" t="s">
        <v>718</v>
      </c>
      <c r="I14" s="4" t="s">
        <v>779</v>
      </c>
      <c r="J14" s="4" t="s">
        <v>780</v>
      </c>
      <c r="K14" s="3"/>
      <c r="L14" s="3"/>
      <c r="M14" s="3"/>
      <c r="N14" s="3"/>
      <c r="O14" s="8" t="s">
        <v>27</v>
      </c>
      <c r="P14" s="3" t="s">
        <v>781</v>
      </c>
    </row>
    <row r="15" customFormat="false" ht="91" hidden="false" customHeight="false" outlineLevel="0" collapsed="false">
      <c r="A15" s="14" t="s">
        <v>17</v>
      </c>
      <c r="B15" s="4" t="s">
        <v>782</v>
      </c>
      <c r="C15" s="3" t="s">
        <v>783</v>
      </c>
      <c r="D15" s="3" t="s">
        <v>748</v>
      </c>
      <c r="E15" s="3" t="s">
        <v>573</v>
      </c>
      <c r="F15" s="6" t="n">
        <v>3156900</v>
      </c>
      <c r="G15" s="6" t="n">
        <v>2841210</v>
      </c>
      <c r="H15" s="3" t="s">
        <v>718</v>
      </c>
      <c r="I15" s="4" t="s">
        <v>784</v>
      </c>
      <c r="J15" s="4" t="s">
        <v>785</v>
      </c>
      <c r="K15" s="3"/>
      <c r="L15" s="3"/>
      <c r="M15" s="3"/>
      <c r="N15" s="3"/>
      <c r="O15" s="8" t="s">
        <v>27</v>
      </c>
      <c r="P15" s="3" t="s">
        <v>786</v>
      </c>
    </row>
    <row r="16" customFormat="false" ht="79.85" hidden="false" customHeight="false" outlineLevel="0" collapsed="false">
      <c r="A16" s="14" t="s">
        <v>17</v>
      </c>
      <c r="B16" s="4" t="s">
        <v>177</v>
      </c>
      <c r="C16" s="3" t="s">
        <v>176</v>
      </c>
      <c r="D16" s="3" t="s">
        <v>717</v>
      </c>
      <c r="E16" s="3" t="s">
        <v>501</v>
      </c>
      <c r="F16" s="6" t="n">
        <v>3022200</v>
      </c>
      <c r="G16" s="6" t="n">
        <v>2719980</v>
      </c>
      <c r="H16" s="3" t="s">
        <v>718</v>
      </c>
      <c r="I16" s="4" t="s">
        <v>787</v>
      </c>
      <c r="J16" s="4" t="s">
        <v>788</v>
      </c>
      <c r="K16" s="3" t="s">
        <v>175</v>
      </c>
      <c r="L16" s="3" t="s">
        <v>509</v>
      </c>
      <c r="M16" s="3" t="s">
        <v>789</v>
      </c>
      <c r="N16" s="3" t="s">
        <v>790</v>
      </c>
      <c r="O16" s="8" t="s">
        <v>27</v>
      </c>
      <c r="P16" s="3" t="s">
        <v>791</v>
      </c>
    </row>
    <row r="17" customFormat="false" ht="113.4" hidden="false" customHeight="false" outlineLevel="0" collapsed="false">
      <c r="A17" s="14" t="s">
        <v>17</v>
      </c>
      <c r="B17" s="4" t="s">
        <v>792</v>
      </c>
      <c r="C17" s="3" t="s">
        <v>793</v>
      </c>
      <c r="D17" s="3" t="s">
        <v>769</v>
      </c>
      <c r="E17" s="3" t="s">
        <v>573</v>
      </c>
      <c r="F17" s="6" t="n">
        <v>2903300</v>
      </c>
      <c r="G17" s="6" t="n">
        <v>2612970</v>
      </c>
      <c r="H17" s="3" t="s">
        <v>718</v>
      </c>
      <c r="I17" s="4" t="s">
        <v>794</v>
      </c>
      <c r="J17" s="4" t="s">
        <v>795</v>
      </c>
      <c r="K17" s="3"/>
      <c r="L17" s="3"/>
      <c r="M17" s="3"/>
      <c r="N17" s="3"/>
      <c r="O17" s="8" t="s">
        <v>27</v>
      </c>
      <c r="P17" s="3" t="s">
        <v>796</v>
      </c>
    </row>
    <row r="18" customFormat="false" ht="91" hidden="false" customHeight="false" outlineLevel="0" collapsed="false">
      <c r="A18" s="14" t="s">
        <v>17</v>
      </c>
      <c r="B18" s="4" t="s">
        <v>797</v>
      </c>
      <c r="C18" s="3" t="s">
        <v>798</v>
      </c>
      <c r="D18" s="3" t="s">
        <v>221</v>
      </c>
      <c r="E18" s="3" t="s">
        <v>501</v>
      </c>
      <c r="F18" s="6" t="n">
        <v>2893400</v>
      </c>
      <c r="G18" s="6" t="n">
        <v>2604060</v>
      </c>
      <c r="H18" s="3" t="s">
        <v>718</v>
      </c>
      <c r="I18" s="4" t="s">
        <v>799</v>
      </c>
      <c r="J18" s="4" t="s">
        <v>800</v>
      </c>
      <c r="K18" s="3"/>
      <c r="L18" s="3"/>
      <c r="M18" s="3"/>
      <c r="N18" s="3"/>
      <c r="O18" s="8" t="s">
        <v>27</v>
      </c>
      <c r="P18" s="3" t="s">
        <v>801</v>
      </c>
    </row>
    <row r="19" customFormat="false" ht="57.45" hidden="false" customHeight="false" outlineLevel="0" collapsed="false">
      <c r="A19" s="14" t="s">
        <v>17</v>
      </c>
      <c r="B19" s="4" t="s">
        <v>180</v>
      </c>
      <c r="C19" s="3" t="s">
        <v>179</v>
      </c>
      <c r="D19" s="3" t="s">
        <v>717</v>
      </c>
      <c r="E19" s="3" t="s">
        <v>501</v>
      </c>
      <c r="F19" s="6" t="n">
        <v>2858200</v>
      </c>
      <c r="G19" s="6" t="n">
        <v>2572380</v>
      </c>
      <c r="H19" s="3" t="s">
        <v>718</v>
      </c>
      <c r="I19" s="4" t="s">
        <v>802</v>
      </c>
      <c r="J19" s="4" t="s">
        <v>803</v>
      </c>
      <c r="K19" s="3" t="s">
        <v>178</v>
      </c>
      <c r="L19" s="3" t="s">
        <v>509</v>
      </c>
      <c r="M19" s="3" t="s">
        <v>804</v>
      </c>
      <c r="N19" s="3" t="s">
        <v>805</v>
      </c>
      <c r="O19" s="8" t="s">
        <v>27</v>
      </c>
      <c r="P19" s="3" t="s">
        <v>806</v>
      </c>
    </row>
    <row r="20" customFormat="false" ht="102.2" hidden="false" customHeight="false" outlineLevel="0" collapsed="false">
      <c r="A20" s="14" t="s">
        <v>17</v>
      </c>
      <c r="B20" s="4" t="s">
        <v>183</v>
      </c>
      <c r="C20" s="3" t="s">
        <v>182</v>
      </c>
      <c r="D20" s="3" t="s">
        <v>807</v>
      </c>
      <c r="E20" s="3" t="s">
        <v>573</v>
      </c>
      <c r="F20" s="6" t="n">
        <v>2839900</v>
      </c>
      <c r="G20" s="6" t="n">
        <v>2555910</v>
      </c>
      <c r="H20" s="3" t="s">
        <v>718</v>
      </c>
      <c r="I20" s="4" t="s">
        <v>808</v>
      </c>
      <c r="J20" s="4" t="s">
        <v>809</v>
      </c>
      <c r="K20" s="3" t="s">
        <v>181</v>
      </c>
      <c r="L20" s="3" t="s">
        <v>515</v>
      </c>
      <c r="M20" s="3"/>
      <c r="N20" s="3" t="s">
        <v>810</v>
      </c>
      <c r="O20" s="8" t="s">
        <v>27</v>
      </c>
      <c r="P20" s="3" t="s">
        <v>811</v>
      </c>
    </row>
    <row r="21" customFormat="false" ht="135.8" hidden="false" customHeight="false" outlineLevel="0" collapsed="false">
      <c r="A21" s="14" t="s">
        <v>17</v>
      </c>
      <c r="B21" s="4" t="s">
        <v>186</v>
      </c>
      <c r="C21" s="3" t="s">
        <v>185</v>
      </c>
      <c r="D21" s="3" t="s">
        <v>164</v>
      </c>
      <c r="E21" s="3" t="s">
        <v>501</v>
      </c>
      <c r="F21" s="6" t="n">
        <v>2610500</v>
      </c>
      <c r="G21" s="6" t="n">
        <v>2349450</v>
      </c>
      <c r="H21" s="3" t="s">
        <v>718</v>
      </c>
      <c r="I21" s="4" t="s">
        <v>812</v>
      </c>
      <c r="J21" s="4" t="s">
        <v>813</v>
      </c>
      <c r="K21" s="3" t="s">
        <v>184</v>
      </c>
      <c r="L21" s="3" t="s">
        <v>509</v>
      </c>
      <c r="M21" s="3" t="s">
        <v>814</v>
      </c>
      <c r="N21" s="3" t="s">
        <v>815</v>
      </c>
      <c r="O21" s="8" t="s">
        <v>27</v>
      </c>
      <c r="P21" s="3" t="s">
        <v>816</v>
      </c>
    </row>
    <row r="22" customFormat="false" ht="46.25" hidden="false" customHeight="false" outlineLevel="0" collapsed="false">
      <c r="A22" s="14" t="s">
        <v>17</v>
      </c>
      <c r="B22" s="4" t="s">
        <v>189</v>
      </c>
      <c r="C22" s="3" t="s">
        <v>188</v>
      </c>
      <c r="D22" s="3" t="s">
        <v>188</v>
      </c>
      <c r="E22" s="3" t="s">
        <v>539</v>
      </c>
      <c r="F22" s="6" t="n">
        <v>2606900</v>
      </c>
      <c r="G22" s="6" t="n">
        <v>2346210</v>
      </c>
      <c r="H22" s="3" t="s">
        <v>718</v>
      </c>
      <c r="I22" s="4" t="s">
        <v>817</v>
      </c>
      <c r="J22" s="4" t="s">
        <v>818</v>
      </c>
      <c r="K22" s="3" t="s">
        <v>187</v>
      </c>
      <c r="L22" s="3" t="s">
        <v>509</v>
      </c>
      <c r="M22" s="3" t="s">
        <v>819</v>
      </c>
      <c r="N22" s="3" t="s">
        <v>820</v>
      </c>
      <c r="O22" s="8" t="s">
        <v>27</v>
      </c>
      <c r="P22" s="3" t="s">
        <v>821</v>
      </c>
    </row>
    <row r="23" customFormat="false" ht="102.2" hidden="false" customHeight="false" outlineLevel="0" collapsed="false">
      <c r="A23" s="14" t="s">
        <v>17</v>
      </c>
      <c r="B23" s="4" t="s">
        <v>192</v>
      </c>
      <c r="C23" s="3" t="s">
        <v>191</v>
      </c>
      <c r="D23" s="3" t="s">
        <v>194</v>
      </c>
      <c r="E23" s="3" t="s">
        <v>501</v>
      </c>
      <c r="F23" s="6" t="n">
        <v>2612700</v>
      </c>
      <c r="G23" s="6" t="n">
        <v>2246922</v>
      </c>
      <c r="H23" s="3" t="s">
        <v>718</v>
      </c>
      <c r="I23" s="4" t="s">
        <v>822</v>
      </c>
      <c r="J23" s="4" t="s">
        <v>823</v>
      </c>
      <c r="K23" s="3" t="s">
        <v>190</v>
      </c>
      <c r="L23" s="3" t="s">
        <v>509</v>
      </c>
      <c r="M23" s="3"/>
      <c r="N23" s="3" t="s">
        <v>824</v>
      </c>
      <c r="O23" s="8" t="s">
        <v>27</v>
      </c>
      <c r="P23" s="3" t="s">
        <v>825</v>
      </c>
    </row>
    <row r="24" customFormat="false" ht="46.25" hidden="false" customHeight="false" outlineLevel="0" collapsed="false">
      <c r="A24" s="14" t="s">
        <v>17</v>
      </c>
      <c r="B24" s="4" t="s">
        <v>195</v>
      </c>
      <c r="C24" s="3" t="s">
        <v>194</v>
      </c>
      <c r="D24" s="3" t="s">
        <v>194</v>
      </c>
      <c r="E24" s="3" t="s">
        <v>539</v>
      </c>
      <c r="F24" s="6" t="n">
        <v>2402300</v>
      </c>
      <c r="G24" s="6" t="n">
        <v>2162070</v>
      </c>
      <c r="H24" s="3" t="s">
        <v>718</v>
      </c>
      <c r="I24" s="4" t="s">
        <v>826</v>
      </c>
      <c r="J24" s="4" t="s">
        <v>827</v>
      </c>
      <c r="K24" s="3" t="s">
        <v>193</v>
      </c>
      <c r="L24" s="3" t="s">
        <v>509</v>
      </c>
      <c r="M24" s="3" t="s">
        <v>828</v>
      </c>
      <c r="N24" s="3" t="s">
        <v>829</v>
      </c>
      <c r="O24" s="8" t="s">
        <v>27</v>
      </c>
      <c r="P24" s="3" t="s">
        <v>830</v>
      </c>
    </row>
    <row r="25" customFormat="false" ht="68.65" hidden="false" customHeight="false" outlineLevel="0" collapsed="false">
      <c r="A25" s="14" t="s">
        <v>17</v>
      </c>
      <c r="B25" s="4" t="s">
        <v>831</v>
      </c>
      <c r="C25" s="3" t="s">
        <v>471</v>
      </c>
      <c r="D25" s="3" t="s">
        <v>278</v>
      </c>
      <c r="E25" s="3" t="s">
        <v>584</v>
      </c>
      <c r="F25" s="6" t="n">
        <v>2361200</v>
      </c>
      <c r="G25" s="6" t="n">
        <v>2125080</v>
      </c>
      <c r="H25" s="3" t="s">
        <v>718</v>
      </c>
      <c r="I25" s="4" t="s">
        <v>832</v>
      </c>
      <c r="J25" s="4" t="s">
        <v>833</v>
      </c>
      <c r="K25" s="3" t="s">
        <v>470</v>
      </c>
      <c r="L25" s="3" t="s">
        <v>509</v>
      </c>
      <c r="M25" s="3" t="s">
        <v>627</v>
      </c>
      <c r="N25" s="3" t="s">
        <v>628</v>
      </c>
      <c r="O25" s="8" t="s">
        <v>27</v>
      </c>
      <c r="P25" s="3" t="s">
        <v>834</v>
      </c>
    </row>
    <row r="26" customFormat="false" ht="57.45" hidden="false" customHeight="false" outlineLevel="0" collapsed="false">
      <c r="A26" s="14" t="s">
        <v>17</v>
      </c>
      <c r="B26" s="4" t="s">
        <v>835</v>
      </c>
      <c r="C26" s="3" t="s">
        <v>836</v>
      </c>
      <c r="D26" s="3" t="s">
        <v>837</v>
      </c>
      <c r="E26" s="3" t="s">
        <v>608</v>
      </c>
      <c r="F26" s="6" t="n">
        <v>2309300</v>
      </c>
      <c r="G26" s="6" t="n">
        <v>2078370</v>
      </c>
      <c r="H26" s="3" t="s">
        <v>718</v>
      </c>
      <c r="I26" s="4" t="s">
        <v>838</v>
      </c>
      <c r="J26" s="4" t="s">
        <v>839</v>
      </c>
      <c r="K26" s="3"/>
      <c r="L26" s="3"/>
      <c r="M26" s="3"/>
      <c r="N26" s="3"/>
      <c r="O26" s="8" t="s">
        <v>27</v>
      </c>
      <c r="P26" s="3" t="s">
        <v>840</v>
      </c>
    </row>
    <row r="27" customFormat="false" ht="57.45" hidden="false" customHeight="false" outlineLevel="0" collapsed="false">
      <c r="A27" s="14" t="s">
        <v>17</v>
      </c>
      <c r="B27" s="4" t="s">
        <v>198</v>
      </c>
      <c r="C27" s="3" t="s">
        <v>197</v>
      </c>
      <c r="D27" s="3" t="s">
        <v>717</v>
      </c>
      <c r="E27" s="3" t="s">
        <v>501</v>
      </c>
      <c r="F27" s="6" t="n">
        <v>2305100</v>
      </c>
      <c r="G27" s="6" t="n">
        <v>2074590</v>
      </c>
      <c r="H27" s="3" t="s">
        <v>718</v>
      </c>
      <c r="I27" s="4" t="s">
        <v>841</v>
      </c>
      <c r="J27" s="4" t="s">
        <v>842</v>
      </c>
      <c r="K27" s="3" t="s">
        <v>196</v>
      </c>
      <c r="L27" s="3" t="s">
        <v>509</v>
      </c>
      <c r="M27" s="3" t="s">
        <v>843</v>
      </c>
      <c r="N27" s="3" t="s">
        <v>844</v>
      </c>
      <c r="O27" s="8" t="s">
        <v>27</v>
      </c>
      <c r="P27" s="3" t="s">
        <v>845</v>
      </c>
    </row>
    <row r="28" customFormat="false" ht="79.85" hidden="false" customHeight="false" outlineLevel="0" collapsed="false">
      <c r="A28" s="14" t="s">
        <v>17</v>
      </c>
      <c r="B28" s="4" t="s">
        <v>201</v>
      </c>
      <c r="C28" s="3" t="s">
        <v>200</v>
      </c>
      <c r="D28" s="3" t="s">
        <v>846</v>
      </c>
      <c r="E28" s="3" t="s">
        <v>501</v>
      </c>
      <c r="F28" s="6" t="n">
        <v>2293700</v>
      </c>
      <c r="G28" s="6" t="n">
        <v>2064330</v>
      </c>
      <c r="H28" s="3" t="s">
        <v>718</v>
      </c>
      <c r="I28" s="4" t="s">
        <v>847</v>
      </c>
      <c r="J28" s="4" t="s">
        <v>848</v>
      </c>
      <c r="K28" s="3" t="s">
        <v>199</v>
      </c>
      <c r="L28" s="3" t="s">
        <v>509</v>
      </c>
      <c r="M28" s="3" t="s">
        <v>849</v>
      </c>
      <c r="N28" s="3" t="s">
        <v>850</v>
      </c>
      <c r="O28" s="8" t="s">
        <v>27</v>
      </c>
      <c r="P28" s="3" t="s">
        <v>851</v>
      </c>
    </row>
    <row r="29" customFormat="false" ht="113.4" hidden="false" customHeight="false" outlineLevel="0" collapsed="false">
      <c r="A29" s="14" t="s">
        <v>17</v>
      </c>
      <c r="B29" s="4" t="s">
        <v>204</v>
      </c>
      <c r="C29" s="3" t="s">
        <v>203</v>
      </c>
      <c r="D29" s="3" t="s">
        <v>164</v>
      </c>
      <c r="E29" s="3" t="s">
        <v>573</v>
      </c>
      <c r="F29" s="6" t="n">
        <v>2195100</v>
      </c>
      <c r="G29" s="6" t="n">
        <v>1975590</v>
      </c>
      <c r="H29" s="3" t="s">
        <v>718</v>
      </c>
      <c r="I29" s="4" t="s">
        <v>852</v>
      </c>
      <c r="J29" s="4" t="s">
        <v>853</v>
      </c>
      <c r="K29" s="3" t="s">
        <v>202</v>
      </c>
      <c r="L29" s="3" t="s">
        <v>509</v>
      </c>
      <c r="M29" s="3" t="s">
        <v>854</v>
      </c>
      <c r="N29" s="3" t="s">
        <v>855</v>
      </c>
      <c r="O29" s="8" t="s">
        <v>27</v>
      </c>
      <c r="P29" s="3" t="s">
        <v>856</v>
      </c>
    </row>
    <row r="30" customFormat="false" ht="79.85" hidden="false" customHeight="false" outlineLevel="0" collapsed="false">
      <c r="A30" s="14" t="s">
        <v>17</v>
      </c>
      <c r="B30" s="4" t="s">
        <v>857</v>
      </c>
      <c r="C30" s="3" t="s">
        <v>858</v>
      </c>
      <c r="D30" s="3" t="s">
        <v>717</v>
      </c>
      <c r="E30" s="3" t="s">
        <v>573</v>
      </c>
      <c r="F30" s="6" t="n">
        <v>2110100</v>
      </c>
      <c r="G30" s="6" t="n">
        <v>1899090</v>
      </c>
      <c r="H30" s="3" t="s">
        <v>718</v>
      </c>
      <c r="I30" s="4" t="s">
        <v>859</v>
      </c>
      <c r="J30" s="4" t="s">
        <v>860</v>
      </c>
      <c r="K30" s="3"/>
      <c r="L30" s="3"/>
      <c r="M30" s="3"/>
      <c r="N30" s="3"/>
      <c r="O30" s="8" t="s">
        <v>27</v>
      </c>
      <c r="P30" s="3" t="s">
        <v>861</v>
      </c>
    </row>
    <row r="31" customFormat="false" ht="68.65" hidden="false" customHeight="false" outlineLevel="0" collapsed="false">
      <c r="A31" s="14" t="s">
        <v>17</v>
      </c>
      <c r="B31" s="4" t="s">
        <v>862</v>
      </c>
      <c r="C31" s="3" t="s">
        <v>449</v>
      </c>
      <c r="D31" s="3" t="s">
        <v>863</v>
      </c>
      <c r="E31" s="3" t="s">
        <v>864</v>
      </c>
      <c r="F31" s="6" t="n">
        <v>2038400</v>
      </c>
      <c r="G31" s="6" t="n">
        <v>1834560</v>
      </c>
      <c r="H31" s="3" t="s">
        <v>718</v>
      </c>
      <c r="I31" s="4" t="s">
        <v>865</v>
      </c>
      <c r="J31" s="4" t="s">
        <v>866</v>
      </c>
      <c r="K31" s="3" t="s">
        <v>448</v>
      </c>
      <c r="L31" s="3" t="s">
        <v>509</v>
      </c>
      <c r="M31" s="3"/>
      <c r="N31" s="3" t="s">
        <v>589</v>
      </c>
      <c r="O31" s="8" t="s">
        <v>27</v>
      </c>
      <c r="P31" s="3" t="s">
        <v>867</v>
      </c>
    </row>
    <row r="32" customFormat="false" ht="46.25" hidden="false" customHeight="false" outlineLevel="0" collapsed="false">
      <c r="A32" s="14" t="s">
        <v>17</v>
      </c>
      <c r="B32" s="4" t="s">
        <v>207</v>
      </c>
      <c r="C32" s="3" t="s">
        <v>206</v>
      </c>
      <c r="D32" s="3" t="s">
        <v>221</v>
      </c>
      <c r="E32" s="3" t="s">
        <v>667</v>
      </c>
      <c r="F32" s="6" t="n">
        <v>1955900</v>
      </c>
      <c r="G32" s="6" t="n">
        <v>1760310</v>
      </c>
      <c r="H32" s="3" t="s">
        <v>718</v>
      </c>
      <c r="I32" s="4" t="s">
        <v>868</v>
      </c>
      <c r="J32" s="4" t="s">
        <v>869</v>
      </c>
      <c r="K32" s="3" t="s">
        <v>205</v>
      </c>
      <c r="L32" s="3" t="s">
        <v>509</v>
      </c>
      <c r="M32" s="3" t="s">
        <v>870</v>
      </c>
      <c r="N32" s="3" t="s">
        <v>871</v>
      </c>
      <c r="O32" s="8" t="s">
        <v>27</v>
      </c>
      <c r="P32" s="3" t="s">
        <v>872</v>
      </c>
    </row>
    <row r="33" customFormat="false" ht="68.65" hidden="false" customHeight="false" outlineLevel="0" collapsed="false">
      <c r="A33" s="14" t="s">
        <v>17</v>
      </c>
      <c r="B33" s="4" t="s">
        <v>873</v>
      </c>
      <c r="C33" s="3" t="s">
        <v>151</v>
      </c>
      <c r="D33" s="3" t="s">
        <v>717</v>
      </c>
      <c r="E33" s="3" t="s">
        <v>584</v>
      </c>
      <c r="F33" s="6" t="n">
        <v>1942400</v>
      </c>
      <c r="G33" s="6" t="n">
        <v>1748160</v>
      </c>
      <c r="H33" s="3" t="s">
        <v>718</v>
      </c>
      <c r="I33" s="4" t="s">
        <v>874</v>
      </c>
      <c r="J33" s="4" t="s">
        <v>875</v>
      </c>
      <c r="K33" s="3" t="s">
        <v>150</v>
      </c>
      <c r="L33" s="3" t="s">
        <v>509</v>
      </c>
      <c r="M33" s="3"/>
      <c r="N33" s="3" t="s">
        <v>726</v>
      </c>
      <c r="O33" s="8" t="s">
        <v>27</v>
      </c>
      <c r="P33" s="3" t="s">
        <v>876</v>
      </c>
    </row>
    <row r="34" customFormat="false" ht="57.45" hidden="false" customHeight="false" outlineLevel="0" collapsed="false">
      <c r="A34" s="14" t="s">
        <v>17</v>
      </c>
      <c r="B34" s="4" t="s">
        <v>210</v>
      </c>
      <c r="C34" s="3" t="s">
        <v>209</v>
      </c>
      <c r="D34" s="3" t="s">
        <v>769</v>
      </c>
      <c r="E34" s="3" t="s">
        <v>501</v>
      </c>
      <c r="F34" s="6" t="n">
        <v>1808000</v>
      </c>
      <c r="G34" s="6" t="n">
        <v>1627200</v>
      </c>
      <c r="H34" s="3" t="s">
        <v>718</v>
      </c>
      <c r="I34" s="4" t="s">
        <v>877</v>
      </c>
      <c r="J34" s="4" t="s">
        <v>878</v>
      </c>
      <c r="K34" s="3" t="s">
        <v>208</v>
      </c>
      <c r="L34" s="3" t="s">
        <v>509</v>
      </c>
      <c r="M34" s="3" t="s">
        <v>879</v>
      </c>
      <c r="N34" s="3" t="s">
        <v>880</v>
      </c>
      <c r="O34" s="8" t="s">
        <v>27</v>
      </c>
      <c r="P34" s="3" t="s">
        <v>881</v>
      </c>
    </row>
    <row r="35" customFormat="false" ht="46.25" hidden="false" customHeight="false" outlineLevel="0" collapsed="false">
      <c r="A35" s="14" t="s">
        <v>17</v>
      </c>
      <c r="B35" s="4" t="s">
        <v>882</v>
      </c>
      <c r="C35" s="3" t="s">
        <v>194</v>
      </c>
      <c r="D35" s="3" t="s">
        <v>194</v>
      </c>
      <c r="E35" s="3" t="s">
        <v>883</v>
      </c>
      <c r="F35" s="6" t="n">
        <v>1783100</v>
      </c>
      <c r="G35" s="6" t="n">
        <v>1604790</v>
      </c>
      <c r="H35" s="3" t="s">
        <v>718</v>
      </c>
      <c r="I35" s="4" t="s">
        <v>884</v>
      </c>
      <c r="J35" s="4" t="s">
        <v>885</v>
      </c>
      <c r="K35" s="3" t="s">
        <v>193</v>
      </c>
      <c r="L35" s="3" t="s">
        <v>509</v>
      </c>
      <c r="M35" s="3" t="s">
        <v>828</v>
      </c>
      <c r="N35" s="3" t="s">
        <v>829</v>
      </c>
      <c r="O35" s="8" t="s">
        <v>27</v>
      </c>
      <c r="P35" s="3" t="s">
        <v>886</v>
      </c>
    </row>
    <row r="36" customFormat="false" ht="46.25" hidden="false" customHeight="false" outlineLevel="0" collapsed="false">
      <c r="A36" s="14" t="s">
        <v>17</v>
      </c>
      <c r="B36" s="4" t="s">
        <v>887</v>
      </c>
      <c r="C36" s="3" t="s">
        <v>324</v>
      </c>
      <c r="D36" s="3" t="s">
        <v>863</v>
      </c>
      <c r="E36" s="3" t="s">
        <v>501</v>
      </c>
      <c r="F36" s="6" t="n">
        <v>1755800</v>
      </c>
      <c r="G36" s="6" t="n">
        <v>1580220</v>
      </c>
      <c r="H36" s="3" t="s">
        <v>718</v>
      </c>
      <c r="I36" s="4" t="s">
        <v>728</v>
      </c>
      <c r="J36" s="4" t="s">
        <v>888</v>
      </c>
      <c r="K36" s="3" t="s">
        <v>323</v>
      </c>
      <c r="L36" s="3" t="s">
        <v>515</v>
      </c>
      <c r="M36" s="3" t="s">
        <v>516</v>
      </c>
      <c r="N36" s="3" t="s">
        <v>517</v>
      </c>
      <c r="O36" s="8" t="s">
        <v>27</v>
      </c>
      <c r="P36" s="3" t="s">
        <v>889</v>
      </c>
    </row>
    <row r="37" customFormat="false" ht="46.25" hidden="false" customHeight="false" outlineLevel="0" collapsed="false">
      <c r="A37" s="14" t="s">
        <v>17</v>
      </c>
      <c r="B37" s="4" t="s">
        <v>213</v>
      </c>
      <c r="C37" s="3" t="s">
        <v>212</v>
      </c>
      <c r="D37" s="3" t="s">
        <v>212</v>
      </c>
      <c r="E37" s="3" t="s">
        <v>501</v>
      </c>
      <c r="F37" s="6" t="n">
        <v>1666000</v>
      </c>
      <c r="G37" s="6" t="n">
        <v>1499400</v>
      </c>
      <c r="H37" s="3" t="s">
        <v>718</v>
      </c>
      <c r="I37" s="4" t="s">
        <v>890</v>
      </c>
      <c r="J37" s="4" t="s">
        <v>891</v>
      </c>
      <c r="K37" s="3" t="s">
        <v>211</v>
      </c>
      <c r="L37" s="3" t="s">
        <v>515</v>
      </c>
      <c r="M37" s="3"/>
      <c r="N37" s="3" t="s">
        <v>892</v>
      </c>
      <c r="O37" s="8" t="s">
        <v>27</v>
      </c>
      <c r="P37" s="3" t="s">
        <v>893</v>
      </c>
    </row>
    <row r="38" customFormat="false" ht="102.2" hidden="false" customHeight="false" outlineLevel="0" collapsed="false">
      <c r="A38" s="14" t="s">
        <v>17</v>
      </c>
      <c r="B38" s="4" t="s">
        <v>216</v>
      </c>
      <c r="C38" s="3" t="s">
        <v>215</v>
      </c>
      <c r="D38" s="3" t="s">
        <v>717</v>
      </c>
      <c r="E38" s="3" t="s">
        <v>501</v>
      </c>
      <c r="F38" s="6" t="n">
        <v>1573200</v>
      </c>
      <c r="G38" s="6" t="n">
        <v>1415880</v>
      </c>
      <c r="H38" s="3" t="s">
        <v>718</v>
      </c>
      <c r="I38" s="4" t="s">
        <v>894</v>
      </c>
      <c r="J38" s="4" t="s">
        <v>895</v>
      </c>
      <c r="K38" s="3" t="s">
        <v>214</v>
      </c>
      <c r="L38" s="3" t="s">
        <v>509</v>
      </c>
      <c r="M38" s="3" t="s">
        <v>896</v>
      </c>
      <c r="N38" s="3" t="s">
        <v>897</v>
      </c>
      <c r="O38" s="8" t="s">
        <v>27</v>
      </c>
      <c r="P38" s="3" t="s">
        <v>898</v>
      </c>
    </row>
    <row r="39" customFormat="false" ht="57.45" hidden="false" customHeight="false" outlineLevel="0" collapsed="false">
      <c r="A39" s="14" t="s">
        <v>17</v>
      </c>
      <c r="B39" s="4" t="s">
        <v>899</v>
      </c>
      <c r="C39" s="3" t="s">
        <v>900</v>
      </c>
      <c r="D39" s="3" t="s">
        <v>717</v>
      </c>
      <c r="E39" s="3" t="s">
        <v>501</v>
      </c>
      <c r="F39" s="6" t="n">
        <v>1568300</v>
      </c>
      <c r="G39" s="6" t="n">
        <v>1411470</v>
      </c>
      <c r="H39" s="3" t="s">
        <v>718</v>
      </c>
      <c r="I39" s="4" t="s">
        <v>901</v>
      </c>
      <c r="J39" s="4" t="s">
        <v>902</v>
      </c>
      <c r="K39" s="3"/>
      <c r="L39" s="3"/>
      <c r="M39" s="3"/>
      <c r="N39" s="3"/>
      <c r="O39" s="8" t="s">
        <v>27</v>
      </c>
      <c r="P39" s="3" t="s">
        <v>903</v>
      </c>
    </row>
    <row r="40" customFormat="false" ht="46.25" hidden="false" customHeight="false" outlineLevel="0" collapsed="false">
      <c r="A40" s="14" t="s">
        <v>17</v>
      </c>
      <c r="B40" s="4" t="s">
        <v>904</v>
      </c>
      <c r="C40" s="3" t="s">
        <v>905</v>
      </c>
      <c r="D40" s="3" t="s">
        <v>748</v>
      </c>
      <c r="E40" s="3" t="s">
        <v>501</v>
      </c>
      <c r="F40" s="6" t="n">
        <v>1522300</v>
      </c>
      <c r="G40" s="6" t="n">
        <v>1370070</v>
      </c>
      <c r="H40" s="3" t="s">
        <v>718</v>
      </c>
      <c r="I40" s="4" t="s">
        <v>906</v>
      </c>
      <c r="J40" s="4" t="s">
        <v>907</v>
      </c>
      <c r="K40" s="3"/>
      <c r="L40" s="3"/>
      <c r="M40" s="3"/>
      <c r="N40" s="3"/>
      <c r="O40" s="8" t="s">
        <v>27</v>
      </c>
      <c r="P40" s="3" t="s">
        <v>908</v>
      </c>
    </row>
    <row r="41" customFormat="false" ht="57.45" hidden="false" customHeight="false" outlineLevel="0" collapsed="false">
      <c r="A41" s="14" t="s">
        <v>17</v>
      </c>
      <c r="B41" s="4" t="s">
        <v>909</v>
      </c>
      <c r="C41" s="3" t="s">
        <v>188</v>
      </c>
      <c r="D41" s="3" t="s">
        <v>188</v>
      </c>
      <c r="E41" s="3" t="s">
        <v>608</v>
      </c>
      <c r="F41" s="6" t="n">
        <v>1359900</v>
      </c>
      <c r="G41" s="6" t="n">
        <v>1223910</v>
      </c>
      <c r="H41" s="3" t="s">
        <v>718</v>
      </c>
      <c r="I41" s="4" t="s">
        <v>910</v>
      </c>
      <c r="J41" s="4" t="s">
        <v>911</v>
      </c>
      <c r="K41" s="3" t="s">
        <v>187</v>
      </c>
      <c r="L41" s="3" t="s">
        <v>509</v>
      </c>
      <c r="M41" s="3" t="s">
        <v>819</v>
      </c>
      <c r="N41" s="3" t="s">
        <v>820</v>
      </c>
      <c r="O41" s="8" t="s">
        <v>27</v>
      </c>
      <c r="P41" s="3" t="s">
        <v>912</v>
      </c>
    </row>
    <row r="42" customFormat="false" ht="46.25" hidden="false" customHeight="false" outlineLevel="0" collapsed="false">
      <c r="A42" s="14" t="s">
        <v>17</v>
      </c>
      <c r="B42" s="4" t="s">
        <v>219</v>
      </c>
      <c r="C42" s="3" t="s">
        <v>218</v>
      </c>
      <c r="D42" s="3" t="s">
        <v>717</v>
      </c>
      <c r="E42" s="3" t="s">
        <v>864</v>
      </c>
      <c r="F42" s="6" t="n">
        <v>1359600</v>
      </c>
      <c r="G42" s="6" t="n">
        <v>1223640</v>
      </c>
      <c r="H42" s="3" t="s">
        <v>718</v>
      </c>
      <c r="I42" s="4" t="s">
        <v>913</v>
      </c>
      <c r="J42" s="4" t="s">
        <v>914</v>
      </c>
      <c r="K42" s="3" t="s">
        <v>217</v>
      </c>
      <c r="L42" s="3" t="s">
        <v>509</v>
      </c>
      <c r="M42" s="3"/>
      <c r="N42" s="3" t="s">
        <v>915</v>
      </c>
      <c r="O42" s="8" t="s">
        <v>27</v>
      </c>
      <c r="P42" s="3" t="s">
        <v>916</v>
      </c>
    </row>
    <row r="43" customFormat="false" ht="91" hidden="false" customHeight="false" outlineLevel="0" collapsed="false">
      <c r="A43" s="14" t="s">
        <v>17</v>
      </c>
      <c r="B43" s="4" t="s">
        <v>222</v>
      </c>
      <c r="C43" s="3" t="s">
        <v>221</v>
      </c>
      <c r="D43" s="3" t="s">
        <v>221</v>
      </c>
      <c r="E43" s="3" t="s">
        <v>608</v>
      </c>
      <c r="F43" s="6" t="n">
        <v>1338100</v>
      </c>
      <c r="G43" s="6" t="n">
        <v>1204290</v>
      </c>
      <c r="H43" s="3" t="s">
        <v>718</v>
      </c>
      <c r="I43" s="4" t="s">
        <v>917</v>
      </c>
      <c r="J43" s="4" t="s">
        <v>918</v>
      </c>
      <c r="K43" s="3" t="s">
        <v>220</v>
      </c>
      <c r="L43" s="3" t="s">
        <v>509</v>
      </c>
      <c r="M43" s="3" t="s">
        <v>919</v>
      </c>
      <c r="N43" s="3" t="s">
        <v>920</v>
      </c>
      <c r="O43" s="8" t="s">
        <v>27</v>
      </c>
      <c r="P43" s="3" t="s">
        <v>921</v>
      </c>
    </row>
    <row r="44" customFormat="false" ht="46.25" hidden="false" customHeight="false" outlineLevel="0" collapsed="false">
      <c r="A44" s="14" t="s">
        <v>17</v>
      </c>
      <c r="B44" s="4" t="s">
        <v>225</v>
      </c>
      <c r="C44" s="3" t="s">
        <v>224</v>
      </c>
      <c r="D44" s="3" t="s">
        <v>224</v>
      </c>
      <c r="E44" s="3" t="s">
        <v>501</v>
      </c>
      <c r="F44" s="6" t="n">
        <v>1326200</v>
      </c>
      <c r="G44" s="6" t="n">
        <v>1193580</v>
      </c>
      <c r="H44" s="3" t="s">
        <v>718</v>
      </c>
      <c r="I44" s="4" t="s">
        <v>922</v>
      </c>
      <c r="J44" s="4" t="s">
        <v>923</v>
      </c>
      <c r="K44" s="3" t="s">
        <v>223</v>
      </c>
      <c r="L44" s="3" t="s">
        <v>509</v>
      </c>
      <c r="M44" s="3" t="s">
        <v>924</v>
      </c>
      <c r="N44" s="3" t="s">
        <v>925</v>
      </c>
      <c r="O44" s="8" t="s">
        <v>27</v>
      </c>
      <c r="P44" s="3" t="s">
        <v>926</v>
      </c>
    </row>
    <row r="45" customFormat="false" ht="91" hidden="false" customHeight="false" outlineLevel="0" collapsed="false">
      <c r="A45" s="14" t="s">
        <v>17</v>
      </c>
      <c r="B45" s="4" t="s">
        <v>228</v>
      </c>
      <c r="C45" s="3" t="s">
        <v>227</v>
      </c>
      <c r="D45" s="3" t="s">
        <v>227</v>
      </c>
      <c r="E45" s="3" t="s">
        <v>539</v>
      </c>
      <c r="F45" s="6" t="n">
        <v>1313600</v>
      </c>
      <c r="G45" s="6" t="n">
        <v>1182240</v>
      </c>
      <c r="H45" s="3" t="s">
        <v>718</v>
      </c>
      <c r="I45" s="4" t="s">
        <v>927</v>
      </c>
      <c r="J45" s="4" t="s">
        <v>928</v>
      </c>
      <c r="K45" s="3" t="s">
        <v>226</v>
      </c>
      <c r="L45" s="3" t="s">
        <v>509</v>
      </c>
      <c r="M45" s="3" t="s">
        <v>929</v>
      </c>
      <c r="N45" s="3" t="s">
        <v>930</v>
      </c>
      <c r="O45" s="8" t="s">
        <v>27</v>
      </c>
      <c r="P45" s="3" t="s">
        <v>931</v>
      </c>
    </row>
    <row r="46" customFormat="false" ht="68.65" hidden="false" customHeight="false" outlineLevel="0" collapsed="false">
      <c r="A46" s="14" t="s">
        <v>17</v>
      </c>
      <c r="B46" s="4" t="s">
        <v>231</v>
      </c>
      <c r="C46" s="3" t="s">
        <v>230</v>
      </c>
      <c r="D46" s="3" t="s">
        <v>717</v>
      </c>
      <c r="E46" s="3" t="s">
        <v>501</v>
      </c>
      <c r="F46" s="6" t="n">
        <v>1309900</v>
      </c>
      <c r="G46" s="6" t="n">
        <v>1178910</v>
      </c>
      <c r="H46" s="3" t="s">
        <v>718</v>
      </c>
      <c r="I46" s="4" t="s">
        <v>932</v>
      </c>
      <c r="J46" s="4" t="s">
        <v>933</v>
      </c>
      <c r="K46" s="3" t="s">
        <v>229</v>
      </c>
      <c r="L46" s="3" t="s">
        <v>509</v>
      </c>
      <c r="M46" s="3" t="s">
        <v>934</v>
      </c>
      <c r="N46" s="3" t="s">
        <v>935</v>
      </c>
      <c r="O46" s="8" t="s">
        <v>27</v>
      </c>
      <c r="P46" s="3" t="s">
        <v>936</v>
      </c>
    </row>
    <row r="47" customFormat="false" ht="68.65" hidden="false" customHeight="false" outlineLevel="0" collapsed="false">
      <c r="A47" s="14" t="s">
        <v>17</v>
      </c>
      <c r="B47" s="4" t="s">
        <v>234</v>
      </c>
      <c r="C47" s="3" t="s">
        <v>233</v>
      </c>
      <c r="D47" s="3" t="s">
        <v>863</v>
      </c>
      <c r="E47" s="3" t="s">
        <v>539</v>
      </c>
      <c r="F47" s="6" t="n">
        <v>1248600</v>
      </c>
      <c r="G47" s="6" t="n">
        <v>1123740</v>
      </c>
      <c r="H47" s="3" t="s">
        <v>718</v>
      </c>
      <c r="I47" s="4" t="s">
        <v>937</v>
      </c>
      <c r="J47" s="4" t="s">
        <v>938</v>
      </c>
      <c r="K47" s="3" t="s">
        <v>232</v>
      </c>
      <c r="L47" s="3" t="s">
        <v>509</v>
      </c>
      <c r="M47" s="3" t="s">
        <v>939</v>
      </c>
      <c r="N47" s="3" t="s">
        <v>940</v>
      </c>
      <c r="O47" s="8" t="s">
        <v>27</v>
      </c>
      <c r="P47" s="3" t="s">
        <v>941</v>
      </c>
    </row>
    <row r="48" customFormat="false" ht="91" hidden="false" customHeight="false" outlineLevel="0" collapsed="false">
      <c r="A48" s="14" t="s">
        <v>17</v>
      </c>
      <c r="B48" s="4" t="s">
        <v>237</v>
      </c>
      <c r="C48" s="3" t="s">
        <v>236</v>
      </c>
      <c r="D48" s="3" t="s">
        <v>942</v>
      </c>
      <c r="E48" s="3" t="s">
        <v>501</v>
      </c>
      <c r="F48" s="6" t="n">
        <v>1237400</v>
      </c>
      <c r="G48" s="6" t="n">
        <v>1113660</v>
      </c>
      <c r="H48" s="3" t="s">
        <v>718</v>
      </c>
      <c r="I48" s="4" t="s">
        <v>943</v>
      </c>
      <c r="J48" s="4" t="s">
        <v>944</v>
      </c>
      <c r="K48" s="3" t="s">
        <v>235</v>
      </c>
      <c r="L48" s="3" t="s">
        <v>515</v>
      </c>
      <c r="M48" s="3" t="s">
        <v>945</v>
      </c>
      <c r="N48" s="3" t="s">
        <v>946</v>
      </c>
      <c r="O48" s="8" t="s">
        <v>27</v>
      </c>
      <c r="P48" s="3" t="s">
        <v>947</v>
      </c>
    </row>
    <row r="49" customFormat="false" ht="68.65" hidden="false" customHeight="false" outlineLevel="0" collapsed="false">
      <c r="A49" s="14" t="s">
        <v>17</v>
      </c>
      <c r="B49" s="4" t="s">
        <v>948</v>
      </c>
      <c r="C49" s="3" t="s">
        <v>339</v>
      </c>
      <c r="D49" s="3" t="s">
        <v>863</v>
      </c>
      <c r="E49" s="3" t="s">
        <v>584</v>
      </c>
      <c r="F49" s="6" t="n">
        <v>1220400</v>
      </c>
      <c r="G49" s="6" t="n">
        <v>1098360</v>
      </c>
      <c r="H49" s="3" t="s">
        <v>718</v>
      </c>
      <c r="I49" s="4" t="s">
        <v>949</v>
      </c>
      <c r="J49" s="4" t="s">
        <v>950</v>
      </c>
      <c r="K49" s="3" t="s">
        <v>338</v>
      </c>
      <c r="L49" s="3" t="s">
        <v>509</v>
      </c>
      <c r="M49" s="3" t="s">
        <v>542</v>
      </c>
      <c r="N49" s="3" t="s">
        <v>543</v>
      </c>
      <c r="O49" s="8" t="s">
        <v>27</v>
      </c>
      <c r="P49" s="3" t="s">
        <v>951</v>
      </c>
    </row>
    <row r="50" customFormat="false" ht="46.25" hidden="false" customHeight="false" outlineLevel="0" collapsed="false">
      <c r="A50" s="14" t="s">
        <v>17</v>
      </c>
      <c r="B50" s="4" t="s">
        <v>240</v>
      </c>
      <c r="C50" s="3" t="s">
        <v>239</v>
      </c>
      <c r="D50" s="3" t="s">
        <v>278</v>
      </c>
      <c r="E50" s="3" t="s">
        <v>501</v>
      </c>
      <c r="F50" s="6" t="n">
        <v>1217200</v>
      </c>
      <c r="G50" s="6" t="n">
        <v>1095480</v>
      </c>
      <c r="H50" s="3" t="s">
        <v>718</v>
      </c>
      <c r="I50" s="4" t="s">
        <v>952</v>
      </c>
      <c r="J50" s="4" t="s">
        <v>953</v>
      </c>
      <c r="K50" s="3" t="s">
        <v>238</v>
      </c>
      <c r="L50" s="3" t="s">
        <v>515</v>
      </c>
      <c r="M50" s="3" t="s">
        <v>954</v>
      </c>
      <c r="N50" s="3" t="s">
        <v>955</v>
      </c>
      <c r="O50" s="8" t="s">
        <v>27</v>
      </c>
      <c r="P50" s="3" t="s">
        <v>956</v>
      </c>
    </row>
    <row r="51" customFormat="false" ht="46.25" hidden="false" customHeight="false" outlineLevel="0" collapsed="false">
      <c r="A51" s="14" t="s">
        <v>17</v>
      </c>
      <c r="B51" s="4" t="s">
        <v>957</v>
      </c>
      <c r="C51" s="3" t="s">
        <v>176</v>
      </c>
      <c r="D51" s="3" t="s">
        <v>717</v>
      </c>
      <c r="E51" s="3" t="s">
        <v>501</v>
      </c>
      <c r="F51" s="6" t="n">
        <v>2164900</v>
      </c>
      <c r="G51" s="6" t="n">
        <v>1082450</v>
      </c>
      <c r="H51" s="3" t="s">
        <v>718</v>
      </c>
      <c r="I51" s="4" t="s">
        <v>958</v>
      </c>
      <c r="J51" s="4" t="s">
        <v>959</v>
      </c>
      <c r="K51" s="3" t="s">
        <v>175</v>
      </c>
      <c r="L51" s="3" t="s">
        <v>509</v>
      </c>
      <c r="M51" s="3" t="s">
        <v>789</v>
      </c>
      <c r="N51" s="3" t="s">
        <v>790</v>
      </c>
      <c r="O51" s="8" t="s">
        <v>27</v>
      </c>
      <c r="P51" s="3" t="s">
        <v>960</v>
      </c>
    </row>
    <row r="52" customFormat="false" ht="57.45" hidden="false" customHeight="false" outlineLevel="0" collapsed="false">
      <c r="A52" s="14" t="s">
        <v>17</v>
      </c>
      <c r="B52" s="4" t="s">
        <v>243</v>
      </c>
      <c r="C52" s="3" t="s">
        <v>242</v>
      </c>
      <c r="D52" s="3" t="s">
        <v>440</v>
      </c>
      <c r="E52" s="3" t="s">
        <v>961</v>
      </c>
      <c r="F52" s="6" t="n">
        <v>1184800</v>
      </c>
      <c r="G52" s="6" t="n">
        <v>1066320</v>
      </c>
      <c r="H52" s="3" t="s">
        <v>718</v>
      </c>
      <c r="I52" s="4" t="s">
        <v>962</v>
      </c>
      <c r="J52" s="4" t="s">
        <v>963</v>
      </c>
      <c r="K52" s="3" t="s">
        <v>241</v>
      </c>
      <c r="L52" s="3" t="s">
        <v>509</v>
      </c>
      <c r="M52" s="3" t="s">
        <v>964</v>
      </c>
      <c r="N52" s="3" t="s">
        <v>965</v>
      </c>
      <c r="O52" s="8" t="s">
        <v>27</v>
      </c>
      <c r="P52" s="3" t="s">
        <v>966</v>
      </c>
    </row>
    <row r="53" customFormat="false" ht="68.65" hidden="false" customHeight="false" outlineLevel="0" collapsed="false">
      <c r="A53" s="14" t="s">
        <v>17</v>
      </c>
      <c r="B53" s="4" t="s">
        <v>967</v>
      </c>
      <c r="C53" s="3" t="s">
        <v>212</v>
      </c>
      <c r="D53" s="3" t="s">
        <v>212</v>
      </c>
      <c r="E53" s="3" t="s">
        <v>501</v>
      </c>
      <c r="F53" s="6" t="n">
        <v>1170000</v>
      </c>
      <c r="G53" s="6" t="n">
        <v>1053000</v>
      </c>
      <c r="H53" s="3" t="s">
        <v>718</v>
      </c>
      <c r="I53" s="4" t="s">
        <v>968</v>
      </c>
      <c r="J53" s="4" t="s">
        <v>969</v>
      </c>
      <c r="K53" s="3" t="s">
        <v>211</v>
      </c>
      <c r="L53" s="3" t="s">
        <v>515</v>
      </c>
      <c r="M53" s="3"/>
      <c r="N53" s="3" t="s">
        <v>892</v>
      </c>
      <c r="O53" s="8" t="s">
        <v>27</v>
      </c>
      <c r="P53" s="3" t="s">
        <v>970</v>
      </c>
    </row>
    <row r="54" customFormat="false" ht="46.25" hidden="false" customHeight="false" outlineLevel="0" collapsed="false">
      <c r="A54" s="14" t="s">
        <v>17</v>
      </c>
      <c r="B54" s="4" t="s">
        <v>971</v>
      </c>
      <c r="C54" s="3" t="s">
        <v>972</v>
      </c>
      <c r="D54" s="3" t="s">
        <v>748</v>
      </c>
      <c r="E54" s="3" t="s">
        <v>608</v>
      </c>
      <c r="F54" s="6" t="n">
        <v>1167800</v>
      </c>
      <c r="G54" s="6" t="n">
        <v>1051020</v>
      </c>
      <c r="H54" s="3" t="s">
        <v>718</v>
      </c>
      <c r="I54" s="4" t="s">
        <v>973</v>
      </c>
      <c r="J54" s="4" t="s">
        <v>974</v>
      </c>
      <c r="K54" s="3"/>
      <c r="L54" s="3"/>
      <c r="M54" s="3"/>
      <c r="N54" s="3"/>
      <c r="O54" s="8" t="s">
        <v>27</v>
      </c>
      <c r="P54" s="3" t="s">
        <v>975</v>
      </c>
    </row>
    <row r="55" customFormat="false" ht="79.85" hidden="false" customHeight="false" outlineLevel="0" collapsed="false">
      <c r="A55" s="14" t="s">
        <v>17</v>
      </c>
      <c r="B55" s="4" t="s">
        <v>246</v>
      </c>
      <c r="C55" s="3" t="s">
        <v>245</v>
      </c>
      <c r="D55" s="3" t="s">
        <v>164</v>
      </c>
      <c r="E55" s="3" t="s">
        <v>573</v>
      </c>
      <c r="F55" s="6" t="n">
        <v>1153600</v>
      </c>
      <c r="G55" s="6" t="n">
        <v>1038240</v>
      </c>
      <c r="H55" s="3" t="s">
        <v>718</v>
      </c>
      <c r="I55" s="4" t="s">
        <v>976</v>
      </c>
      <c r="J55" s="4" t="s">
        <v>977</v>
      </c>
      <c r="K55" s="3" t="s">
        <v>244</v>
      </c>
      <c r="L55" s="3" t="s">
        <v>509</v>
      </c>
      <c r="M55" s="3" t="s">
        <v>978</v>
      </c>
      <c r="N55" s="3" t="s">
        <v>979</v>
      </c>
      <c r="O55" s="8" t="s">
        <v>27</v>
      </c>
      <c r="P55" s="3" t="s">
        <v>980</v>
      </c>
    </row>
    <row r="56" customFormat="false" ht="102.2" hidden="false" customHeight="false" outlineLevel="0" collapsed="false">
      <c r="A56" s="14" t="s">
        <v>17</v>
      </c>
      <c r="B56" s="4" t="s">
        <v>981</v>
      </c>
      <c r="C56" s="3" t="s">
        <v>154</v>
      </c>
      <c r="D56" s="3" t="s">
        <v>194</v>
      </c>
      <c r="E56" s="3" t="s">
        <v>501</v>
      </c>
      <c r="F56" s="6" t="n">
        <v>1117000</v>
      </c>
      <c r="G56" s="6" t="n">
        <v>1005300</v>
      </c>
      <c r="H56" s="3" t="s">
        <v>718</v>
      </c>
      <c r="I56" s="4" t="s">
        <v>728</v>
      </c>
      <c r="J56" s="4" t="s">
        <v>982</v>
      </c>
      <c r="K56" s="3" t="s">
        <v>153</v>
      </c>
      <c r="L56" s="3" t="s">
        <v>509</v>
      </c>
      <c r="M56" s="3"/>
      <c r="N56" s="3" t="s">
        <v>730</v>
      </c>
      <c r="O56" s="8" t="s">
        <v>27</v>
      </c>
      <c r="P56" s="3" t="s">
        <v>983</v>
      </c>
    </row>
    <row r="57" customFormat="false" ht="57.45" hidden="false" customHeight="false" outlineLevel="0" collapsed="false">
      <c r="A57" s="14" t="s">
        <v>17</v>
      </c>
      <c r="B57" s="4" t="s">
        <v>984</v>
      </c>
      <c r="C57" s="3" t="s">
        <v>194</v>
      </c>
      <c r="D57" s="3" t="s">
        <v>194</v>
      </c>
      <c r="E57" s="3" t="s">
        <v>691</v>
      </c>
      <c r="F57" s="6" t="n">
        <v>1787400</v>
      </c>
      <c r="G57" s="6" t="n">
        <v>1000000</v>
      </c>
      <c r="H57" s="3" t="s">
        <v>985</v>
      </c>
      <c r="I57" s="4" t="s">
        <v>986</v>
      </c>
      <c r="J57" s="4" t="s">
        <v>987</v>
      </c>
      <c r="K57" s="3" t="s">
        <v>193</v>
      </c>
      <c r="L57" s="3" t="s">
        <v>509</v>
      </c>
      <c r="M57" s="3" t="s">
        <v>828</v>
      </c>
      <c r="N57" s="3" t="s">
        <v>829</v>
      </c>
      <c r="O57" s="8" t="s">
        <v>27</v>
      </c>
      <c r="P57" s="3" t="s">
        <v>988</v>
      </c>
    </row>
    <row r="58" customFormat="false" ht="46.25" hidden="false" customHeight="false" outlineLevel="0" collapsed="false">
      <c r="A58" s="14" t="s">
        <v>17</v>
      </c>
      <c r="B58" s="4" t="s">
        <v>249</v>
      </c>
      <c r="C58" s="3" t="s">
        <v>248</v>
      </c>
      <c r="D58" s="3" t="s">
        <v>248</v>
      </c>
      <c r="E58" s="3" t="s">
        <v>691</v>
      </c>
      <c r="F58" s="6" t="n">
        <v>1111100</v>
      </c>
      <c r="G58" s="6" t="n">
        <v>999990</v>
      </c>
      <c r="H58" s="3" t="s">
        <v>985</v>
      </c>
      <c r="I58" s="4" t="s">
        <v>989</v>
      </c>
      <c r="J58" s="4" t="s">
        <v>990</v>
      </c>
      <c r="K58" s="3" t="s">
        <v>247</v>
      </c>
      <c r="L58" s="3" t="s">
        <v>509</v>
      </c>
      <c r="M58" s="3" t="s">
        <v>991</v>
      </c>
      <c r="N58" s="3" t="s">
        <v>992</v>
      </c>
      <c r="O58" s="8" t="s">
        <v>27</v>
      </c>
      <c r="P58" s="3" t="s">
        <v>993</v>
      </c>
    </row>
    <row r="59" customFormat="false" ht="46.25" hidden="false" customHeight="false" outlineLevel="0" collapsed="false">
      <c r="A59" s="14" t="s">
        <v>17</v>
      </c>
      <c r="B59" s="4" t="s">
        <v>249</v>
      </c>
      <c r="C59" s="3" t="s">
        <v>251</v>
      </c>
      <c r="D59" s="3" t="s">
        <v>251</v>
      </c>
      <c r="E59" s="3" t="s">
        <v>691</v>
      </c>
      <c r="F59" s="6" t="n">
        <v>1111100</v>
      </c>
      <c r="G59" s="6" t="n">
        <v>999990</v>
      </c>
      <c r="H59" s="3" t="s">
        <v>985</v>
      </c>
      <c r="I59" s="4" t="s">
        <v>994</v>
      </c>
      <c r="J59" s="4" t="s">
        <v>995</v>
      </c>
      <c r="K59" s="3" t="s">
        <v>250</v>
      </c>
      <c r="L59" s="3" t="s">
        <v>509</v>
      </c>
      <c r="M59" s="3" t="s">
        <v>996</v>
      </c>
      <c r="N59" s="3" t="s">
        <v>997</v>
      </c>
      <c r="O59" s="8" t="s">
        <v>27</v>
      </c>
      <c r="P59" s="3" t="s">
        <v>998</v>
      </c>
    </row>
    <row r="60" customFormat="false" ht="57.45" hidden="false" customHeight="false" outlineLevel="0" collapsed="false">
      <c r="A60" s="14" t="s">
        <v>17</v>
      </c>
      <c r="B60" s="4" t="s">
        <v>249</v>
      </c>
      <c r="C60" s="3" t="s">
        <v>88</v>
      </c>
      <c r="D60" s="3" t="s">
        <v>88</v>
      </c>
      <c r="E60" s="3" t="s">
        <v>691</v>
      </c>
      <c r="F60" s="6" t="n">
        <v>1111100</v>
      </c>
      <c r="G60" s="6" t="n">
        <v>999990</v>
      </c>
      <c r="H60" s="3" t="s">
        <v>985</v>
      </c>
      <c r="I60" s="4" t="s">
        <v>999</v>
      </c>
      <c r="J60" s="4" t="s">
        <v>1000</v>
      </c>
      <c r="K60" s="3" t="s">
        <v>252</v>
      </c>
      <c r="L60" s="3" t="s">
        <v>515</v>
      </c>
      <c r="M60" s="3" t="s">
        <v>1001</v>
      </c>
      <c r="N60" s="3" t="s">
        <v>1002</v>
      </c>
      <c r="O60" s="8" t="s">
        <v>27</v>
      </c>
      <c r="P60" s="3" t="s">
        <v>1003</v>
      </c>
    </row>
    <row r="61" customFormat="false" ht="57.45" hidden="false" customHeight="false" outlineLevel="0" collapsed="false">
      <c r="A61" s="14" t="s">
        <v>17</v>
      </c>
      <c r="B61" s="4" t="s">
        <v>1004</v>
      </c>
      <c r="C61" s="3" t="s">
        <v>164</v>
      </c>
      <c r="D61" s="3" t="s">
        <v>164</v>
      </c>
      <c r="E61" s="3" t="s">
        <v>691</v>
      </c>
      <c r="F61" s="6" t="n">
        <v>1111000</v>
      </c>
      <c r="G61" s="6" t="n">
        <v>999900</v>
      </c>
      <c r="H61" s="3" t="s">
        <v>985</v>
      </c>
      <c r="I61" s="4" t="s">
        <v>1005</v>
      </c>
      <c r="J61" s="4" t="s">
        <v>1006</v>
      </c>
      <c r="K61" s="3" t="s">
        <v>163</v>
      </c>
      <c r="L61" s="3" t="s">
        <v>515</v>
      </c>
      <c r="M61" s="3" t="s">
        <v>744</v>
      </c>
      <c r="N61" s="3" t="s">
        <v>745</v>
      </c>
      <c r="O61" s="8" t="s">
        <v>27</v>
      </c>
      <c r="P61" s="3" t="s">
        <v>1007</v>
      </c>
    </row>
    <row r="62" customFormat="false" ht="57.45" hidden="false" customHeight="false" outlineLevel="0" collapsed="false">
      <c r="A62" s="14" t="s">
        <v>17</v>
      </c>
      <c r="B62" s="4" t="s">
        <v>255</v>
      </c>
      <c r="C62" s="3" t="s">
        <v>254</v>
      </c>
      <c r="D62" s="3" t="s">
        <v>254</v>
      </c>
      <c r="E62" s="3" t="s">
        <v>539</v>
      </c>
      <c r="F62" s="6" t="n">
        <v>1110900</v>
      </c>
      <c r="G62" s="6" t="n">
        <v>999810</v>
      </c>
      <c r="H62" s="3" t="s">
        <v>718</v>
      </c>
      <c r="I62" s="4" t="s">
        <v>1008</v>
      </c>
      <c r="J62" s="4" t="s">
        <v>1009</v>
      </c>
      <c r="K62" s="3" t="s">
        <v>253</v>
      </c>
      <c r="L62" s="3" t="s">
        <v>509</v>
      </c>
      <c r="M62" s="3" t="s">
        <v>1010</v>
      </c>
      <c r="N62" s="3" t="s">
        <v>1011</v>
      </c>
      <c r="O62" s="8" t="s">
        <v>27</v>
      </c>
      <c r="P62" s="3" t="s">
        <v>1012</v>
      </c>
    </row>
    <row r="63" customFormat="false" ht="46.25" hidden="false" customHeight="false" outlineLevel="0" collapsed="false">
      <c r="A63" s="14" t="s">
        <v>17</v>
      </c>
      <c r="B63" s="4" t="s">
        <v>1013</v>
      </c>
      <c r="C63" s="3" t="s">
        <v>1014</v>
      </c>
      <c r="D63" s="3" t="s">
        <v>769</v>
      </c>
      <c r="E63" s="3" t="s">
        <v>691</v>
      </c>
      <c r="F63" s="6" t="n">
        <v>1110800</v>
      </c>
      <c r="G63" s="6" t="n">
        <v>999720</v>
      </c>
      <c r="H63" s="3" t="s">
        <v>985</v>
      </c>
      <c r="I63" s="4" t="s">
        <v>728</v>
      </c>
      <c r="J63" s="4" t="s">
        <v>1015</v>
      </c>
      <c r="K63" s="3"/>
      <c r="L63" s="3"/>
      <c r="M63" s="3"/>
      <c r="N63" s="3"/>
      <c r="O63" s="8" t="s">
        <v>27</v>
      </c>
      <c r="P63" s="3" t="s">
        <v>1016</v>
      </c>
    </row>
    <row r="64" customFormat="false" ht="46.25" hidden="false" customHeight="false" outlineLevel="0" collapsed="false">
      <c r="A64" s="14" t="s">
        <v>17</v>
      </c>
      <c r="B64" s="4" t="s">
        <v>258</v>
      </c>
      <c r="C64" s="3" t="s">
        <v>170</v>
      </c>
      <c r="D64" s="3" t="s">
        <v>170</v>
      </c>
      <c r="E64" s="3" t="s">
        <v>691</v>
      </c>
      <c r="F64" s="6" t="n">
        <v>1109400</v>
      </c>
      <c r="G64" s="6" t="n">
        <v>998460</v>
      </c>
      <c r="H64" s="3" t="s">
        <v>985</v>
      </c>
      <c r="I64" s="4" t="s">
        <v>1017</v>
      </c>
      <c r="J64" s="4" t="s">
        <v>1018</v>
      </c>
      <c r="K64" s="3" t="s">
        <v>169</v>
      </c>
      <c r="L64" s="3" t="s">
        <v>509</v>
      </c>
      <c r="M64" s="3" t="s">
        <v>759</v>
      </c>
      <c r="N64" s="3" t="s">
        <v>760</v>
      </c>
      <c r="O64" s="8" t="s">
        <v>27</v>
      </c>
      <c r="P64" s="3" t="s">
        <v>1019</v>
      </c>
    </row>
    <row r="65" customFormat="false" ht="57.45" hidden="false" customHeight="false" outlineLevel="0" collapsed="false">
      <c r="A65" s="14" t="s">
        <v>17</v>
      </c>
      <c r="B65" s="4" t="s">
        <v>258</v>
      </c>
      <c r="C65" s="3" t="s">
        <v>257</v>
      </c>
      <c r="D65" s="3" t="s">
        <v>257</v>
      </c>
      <c r="E65" s="3" t="s">
        <v>691</v>
      </c>
      <c r="F65" s="6" t="n">
        <v>1109400</v>
      </c>
      <c r="G65" s="6" t="n">
        <v>998460</v>
      </c>
      <c r="H65" s="3" t="s">
        <v>985</v>
      </c>
      <c r="I65" s="4" t="s">
        <v>1020</v>
      </c>
      <c r="J65" s="4" t="s">
        <v>1021</v>
      </c>
      <c r="K65" s="3" t="s">
        <v>256</v>
      </c>
      <c r="L65" s="3" t="s">
        <v>509</v>
      </c>
      <c r="M65" s="3" t="s">
        <v>1022</v>
      </c>
      <c r="N65" s="3" t="s">
        <v>1023</v>
      </c>
      <c r="O65" s="8" t="s">
        <v>27</v>
      </c>
      <c r="P65" s="3" t="s">
        <v>1024</v>
      </c>
    </row>
    <row r="66" customFormat="false" ht="46.25" hidden="false" customHeight="false" outlineLevel="0" collapsed="false">
      <c r="A66" s="14" t="s">
        <v>17</v>
      </c>
      <c r="B66" s="4" t="s">
        <v>1025</v>
      </c>
      <c r="C66" s="3" t="s">
        <v>73</v>
      </c>
      <c r="D66" s="3" t="s">
        <v>73</v>
      </c>
      <c r="E66" s="3" t="s">
        <v>691</v>
      </c>
      <c r="F66" s="6" t="n">
        <v>1108300</v>
      </c>
      <c r="G66" s="6" t="n">
        <v>997470</v>
      </c>
      <c r="H66" s="3" t="s">
        <v>985</v>
      </c>
      <c r="I66" s="4" t="s">
        <v>1026</v>
      </c>
      <c r="J66" s="4" t="s">
        <v>1027</v>
      </c>
      <c r="K66" s="3" t="s">
        <v>485</v>
      </c>
      <c r="L66" s="3" t="s">
        <v>509</v>
      </c>
      <c r="M66" s="3" t="s">
        <v>701</v>
      </c>
      <c r="N66" s="3" t="s">
        <v>702</v>
      </c>
      <c r="O66" s="8" t="s">
        <v>27</v>
      </c>
      <c r="P66" s="3" t="s">
        <v>1028</v>
      </c>
    </row>
    <row r="67" customFormat="false" ht="79.85" hidden="false" customHeight="false" outlineLevel="0" collapsed="false">
      <c r="A67" s="14" t="s">
        <v>17</v>
      </c>
      <c r="B67" s="4" t="s">
        <v>1029</v>
      </c>
      <c r="C67" s="3" t="s">
        <v>254</v>
      </c>
      <c r="D67" s="3" t="s">
        <v>254</v>
      </c>
      <c r="E67" s="3" t="s">
        <v>691</v>
      </c>
      <c r="F67" s="6" t="n">
        <v>1107700</v>
      </c>
      <c r="G67" s="6" t="n">
        <v>996930</v>
      </c>
      <c r="H67" s="3" t="s">
        <v>985</v>
      </c>
      <c r="I67" s="4" t="s">
        <v>1030</v>
      </c>
      <c r="J67" s="4" t="s">
        <v>1031</v>
      </c>
      <c r="K67" s="3" t="s">
        <v>253</v>
      </c>
      <c r="L67" s="3" t="s">
        <v>509</v>
      </c>
      <c r="M67" s="3" t="s">
        <v>1010</v>
      </c>
      <c r="N67" s="3" t="s">
        <v>1011</v>
      </c>
      <c r="O67" s="8" t="s">
        <v>27</v>
      </c>
      <c r="P67" s="3" t="s">
        <v>1032</v>
      </c>
    </row>
    <row r="68" customFormat="false" ht="46.25" hidden="false" customHeight="false" outlineLevel="0" collapsed="false">
      <c r="A68" s="14" t="s">
        <v>17</v>
      </c>
      <c r="B68" s="4" t="s">
        <v>261</v>
      </c>
      <c r="C68" s="3" t="s">
        <v>260</v>
      </c>
      <c r="D68" s="3" t="s">
        <v>299</v>
      </c>
      <c r="E68" s="3" t="s">
        <v>501</v>
      </c>
      <c r="F68" s="6" t="n">
        <v>1098600</v>
      </c>
      <c r="G68" s="6" t="n">
        <v>988740</v>
      </c>
      <c r="H68" s="3" t="s">
        <v>718</v>
      </c>
      <c r="I68" s="4" t="s">
        <v>1033</v>
      </c>
      <c r="J68" s="4" t="s">
        <v>1034</v>
      </c>
      <c r="K68" s="3" t="s">
        <v>259</v>
      </c>
      <c r="L68" s="3" t="s">
        <v>509</v>
      </c>
      <c r="M68" s="3" t="s">
        <v>1035</v>
      </c>
      <c r="N68" s="3" t="s">
        <v>1036</v>
      </c>
      <c r="O68" s="8" t="s">
        <v>27</v>
      </c>
      <c r="P68" s="3" t="s">
        <v>1037</v>
      </c>
    </row>
    <row r="69" customFormat="false" ht="68.65" hidden="false" customHeight="false" outlineLevel="0" collapsed="false">
      <c r="A69" s="14" t="s">
        <v>17</v>
      </c>
      <c r="B69" s="4" t="s">
        <v>1038</v>
      </c>
      <c r="C69" s="3" t="s">
        <v>1039</v>
      </c>
      <c r="D69" s="3" t="s">
        <v>212</v>
      </c>
      <c r="E69" s="3" t="s">
        <v>501</v>
      </c>
      <c r="F69" s="6" t="n">
        <v>1142100</v>
      </c>
      <c r="G69" s="6" t="n">
        <v>975690</v>
      </c>
      <c r="H69" s="3" t="s">
        <v>718</v>
      </c>
      <c r="I69" s="4" t="s">
        <v>1040</v>
      </c>
      <c r="J69" s="4" t="s">
        <v>1041</v>
      </c>
      <c r="K69" s="3"/>
      <c r="L69" s="3"/>
      <c r="M69" s="3"/>
      <c r="N69" s="3"/>
      <c r="O69" s="8" t="s">
        <v>27</v>
      </c>
      <c r="P69" s="3" t="s">
        <v>1042</v>
      </c>
    </row>
    <row r="70" customFormat="false" ht="46.25" hidden="false" customHeight="false" outlineLevel="0" collapsed="false">
      <c r="A70" s="14" t="s">
        <v>17</v>
      </c>
      <c r="B70" s="4" t="s">
        <v>1043</v>
      </c>
      <c r="C70" s="3" t="s">
        <v>473</v>
      </c>
      <c r="D70" s="3" t="s">
        <v>473</v>
      </c>
      <c r="E70" s="3" t="s">
        <v>691</v>
      </c>
      <c r="F70" s="6" t="n">
        <v>1077500</v>
      </c>
      <c r="G70" s="6" t="n">
        <v>969750</v>
      </c>
      <c r="H70" s="3" t="s">
        <v>985</v>
      </c>
      <c r="I70" s="4" t="s">
        <v>728</v>
      </c>
      <c r="J70" s="4" t="s">
        <v>1044</v>
      </c>
      <c r="K70" s="3" t="s">
        <v>472</v>
      </c>
      <c r="L70" s="3" t="s">
        <v>509</v>
      </c>
      <c r="M70" s="3" t="s">
        <v>632</v>
      </c>
      <c r="N70" s="3" t="s">
        <v>633</v>
      </c>
      <c r="O70" s="8" t="s">
        <v>27</v>
      </c>
      <c r="P70" s="3" t="s">
        <v>1045</v>
      </c>
    </row>
    <row r="71" customFormat="false" ht="102.2" hidden="false" customHeight="false" outlineLevel="0" collapsed="false">
      <c r="A71" s="14" t="s">
        <v>17</v>
      </c>
      <c r="B71" s="4" t="s">
        <v>1046</v>
      </c>
      <c r="C71" s="3" t="s">
        <v>1047</v>
      </c>
      <c r="D71" s="3" t="s">
        <v>194</v>
      </c>
      <c r="E71" s="3" t="s">
        <v>539</v>
      </c>
      <c r="F71" s="6" t="n">
        <v>1048700</v>
      </c>
      <c r="G71" s="6" t="n">
        <v>943830</v>
      </c>
      <c r="H71" s="3" t="s">
        <v>718</v>
      </c>
      <c r="I71" s="4" t="s">
        <v>1048</v>
      </c>
      <c r="J71" s="4" t="s">
        <v>1049</v>
      </c>
      <c r="K71" s="3"/>
      <c r="L71" s="3"/>
      <c r="M71" s="3"/>
      <c r="N71" s="3"/>
      <c r="O71" s="8" t="s">
        <v>27</v>
      </c>
      <c r="P71" s="3" t="s">
        <v>1050</v>
      </c>
    </row>
    <row r="72" customFormat="false" ht="46.25" hidden="false" customHeight="false" outlineLevel="0" collapsed="false">
      <c r="A72" s="14" t="s">
        <v>17</v>
      </c>
      <c r="B72" s="4" t="s">
        <v>264</v>
      </c>
      <c r="C72" s="3" t="s">
        <v>263</v>
      </c>
      <c r="D72" s="3" t="s">
        <v>717</v>
      </c>
      <c r="E72" s="3" t="s">
        <v>501</v>
      </c>
      <c r="F72" s="6" t="n">
        <v>1035000</v>
      </c>
      <c r="G72" s="6" t="n">
        <v>931500</v>
      </c>
      <c r="H72" s="3" t="s">
        <v>718</v>
      </c>
      <c r="I72" s="4" t="s">
        <v>1051</v>
      </c>
      <c r="J72" s="4" t="s">
        <v>1052</v>
      </c>
      <c r="K72" s="3" t="s">
        <v>262</v>
      </c>
      <c r="L72" s="3" t="s">
        <v>509</v>
      </c>
      <c r="M72" s="3" t="s">
        <v>1053</v>
      </c>
      <c r="N72" s="3" t="s">
        <v>1054</v>
      </c>
      <c r="O72" s="8" t="s">
        <v>27</v>
      </c>
      <c r="P72" s="3" t="s">
        <v>1055</v>
      </c>
    </row>
    <row r="73" customFormat="false" ht="46.25" hidden="false" customHeight="false" outlineLevel="0" collapsed="false">
      <c r="A73" s="14" t="s">
        <v>17</v>
      </c>
      <c r="B73" s="4" t="s">
        <v>1056</v>
      </c>
      <c r="C73" s="3" t="s">
        <v>440</v>
      </c>
      <c r="D73" s="3" t="s">
        <v>440</v>
      </c>
      <c r="E73" s="3" t="s">
        <v>501</v>
      </c>
      <c r="F73" s="6" t="n">
        <v>1024000</v>
      </c>
      <c r="G73" s="6" t="n">
        <v>921600</v>
      </c>
      <c r="H73" s="3" t="s">
        <v>718</v>
      </c>
      <c r="I73" s="4" t="s">
        <v>1057</v>
      </c>
      <c r="J73" s="4" t="s">
        <v>1058</v>
      </c>
      <c r="K73" s="3" t="s">
        <v>439</v>
      </c>
      <c r="L73" s="3" t="s">
        <v>515</v>
      </c>
      <c r="M73" s="3" t="s">
        <v>579</v>
      </c>
      <c r="N73" s="3" t="s">
        <v>580</v>
      </c>
      <c r="O73" s="8" t="s">
        <v>27</v>
      </c>
      <c r="P73" s="3" t="s">
        <v>1059</v>
      </c>
    </row>
    <row r="74" customFormat="false" ht="147" hidden="false" customHeight="false" outlineLevel="0" collapsed="false">
      <c r="A74" s="14" t="s">
        <v>17</v>
      </c>
      <c r="B74" s="4" t="s">
        <v>1060</v>
      </c>
      <c r="C74" s="3" t="s">
        <v>209</v>
      </c>
      <c r="D74" s="3" t="s">
        <v>769</v>
      </c>
      <c r="E74" s="3" t="s">
        <v>573</v>
      </c>
      <c r="F74" s="6" t="n">
        <v>1018100</v>
      </c>
      <c r="G74" s="6" t="n">
        <v>916290</v>
      </c>
      <c r="H74" s="3" t="s">
        <v>718</v>
      </c>
      <c r="I74" s="4" t="s">
        <v>1061</v>
      </c>
      <c r="J74" s="4" t="s">
        <v>1062</v>
      </c>
      <c r="K74" s="3" t="s">
        <v>208</v>
      </c>
      <c r="L74" s="3" t="s">
        <v>509</v>
      </c>
      <c r="M74" s="3" t="s">
        <v>879</v>
      </c>
      <c r="N74" s="3" t="s">
        <v>880</v>
      </c>
      <c r="O74" s="8" t="s">
        <v>27</v>
      </c>
      <c r="P74" s="3" t="s">
        <v>1063</v>
      </c>
    </row>
    <row r="75" customFormat="false" ht="46.25" hidden="false" customHeight="false" outlineLevel="0" collapsed="false">
      <c r="A75" s="14" t="s">
        <v>17</v>
      </c>
      <c r="B75" s="4" t="s">
        <v>1064</v>
      </c>
      <c r="C75" s="3" t="s">
        <v>434</v>
      </c>
      <c r="D75" s="3" t="s">
        <v>212</v>
      </c>
      <c r="E75" s="3" t="s">
        <v>501</v>
      </c>
      <c r="F75" s="6" t="n">
        <v>1005500</v>
      </c>
      <c r="G75" s="6" t="n">
        <v>904950</v>
      </c>
      <c r="H75" s="3" t="s">
        <v>718</v>
      </c>
      <c r="I75" s="4" t="s">
        <v>1065</v>
      </c>
      <c r="J75" s="4" t="s">
        <v>1066</v>
      </c>
      <c r="K75" s="3" t="s">
        <v>433</v>
      </c>
      <c r="L75" s="3" t="s">
        <v>515</v>
      </c>
      <c r="M75" s="3" t="s">
        <v>565</v>
      </c>
      <c r="N75" s="3" t="s">
        <v>566</v>
      </c>
      <c r="O75" s="8" t="s">
        <v>27</v>
      </c>
      <c r="P75" s="3" t="s">
        <v>1067</v>
      </c>
    </row>
    <row r="76" customFormat="false" ht="91" hidden="false" customHeight="false" outlineLevel="0" collapsed="false">
      <c r="A76" s="14" t="s">
        <v>17</v>
      </c>
      <c r="B76" s="4" t="s">
        <v>1068</v>
      </c>
      <c r="C76" s="3" t="s">
        <v>1069</v>
      </c>
      <c r="D76" s="3" t="s">
        <v>440</v>
      </c>
      <c r="E76" s="3" t="s">
        <v>1070</v>
      </c>
      <c r="F76" s="6" t="n">
        <v>1000400</v>
      </c>
      <c r="G76" s="6" t="n">
        <v>900360</v>
      </c>
      <c r="H76" s="3" t="s">
        <v>718</v>
      </c>
      <c r="I76" s="4" t="s">
        <v>1071</v>
      </c>
      <c r="J76" s="4" t="s">
        <v>1072</v>
      </c>
      <c r="K76" s="3"/>
      <c r="L76" s="3"/>
      <c r="M76" s="3"/>
      <c r="N76" s="3"/>
      <c r="O76" s="8" t="s">
        <v>27</v>
      </c>
      <c r="P76" s="3" t="s">
        <v>1073</v>
      </c>
    </row>
    <row r="77" customFormat="false" ht="91" hidden="false" customHeight="false" outlineLevel="0" collapsed="false">
      <c r="A77" s="14" t="s">
        <v>17</v>
      </c>
      <c r="B77" s="4" t="s">
        <v>267</v>
      </c>
      <c r="C77" s="3" t="s">
        <v>266</v>
      </c>
      <c r="D77" s="3" t="s">
        <v>73</v>
      </c>
      <c r="E77" s="3" t="s">
        <v>501</v>
      </c>
      <c r="F77" s="6" t="n">
        <v>983400</v>
      </c>
      <c r="G77" s="6" t="n">
        <v>885060</v>
      </c>
      <c r="H77" s="3" t="s">
        <v>718</v>
      </c>
      <c r="I77" s="4" t="s">
        <v>1074</v>
      </c>
      <c r="J77" s="4" t="s">
        <v>1075</v>
      </c>
      <c r="K77" s="3" t="s">
        <v>265</v>
      </c>
      <c r="L77" s="3" t="s">
        <v>509</v>
      </c>
      <c r="M77" s="3" t="s">
        <v>1076</v>
      </c>
      <c r="N77" s="3" t="s">
        <v>1077</v>
      </c>
      <c r="O77" s="8" t="s">
        <v>27</v>
      </c>
      <c r="P77" s="3" t="s">
        <v>1078</v>
      </c>
    </row>
    <row r="78" customFormat="false" ht="68.65" hidden="false" customHeight="false" outlineLevel="0" collapsed="false">
      <c r="A78" s="14" t="s">
        <v>17</v>
      </c>
      <c r="B78" s="4" t="s">
        <v>1079</v>
      </c>
      <c r="C78" s="3" t="s">
        <v>972</v>
      </c>
      <c r="D78" s="3" t="s">
        <v>748</v>
      </c>
      <c r="E78" s="3" t="s">
        <v>573</v>
      </c>
      <c r="F78" s="6" t="n">
        <v>980000</v>
      </c>
      <c r="G78" s="6" t="n">
        <v>882000</v>
      </c>
      <c r="H78" s="3" t="s">
        <v>718</v>
      </c>
      <c r="I78" s="4" t="s">
        <v>1080</v>
      </c>
      <c r="J78" s="4" t="s">
        <v>1081</v>
      </c>
      <c r="K78" s="3"/>
      <c r="L78" s="3"/>
      <c r="M78" s="3"/>
      <c r="N78" s="3"/>
      <c r="O78" s="8" t="s">
        <v>27</v>
      </c>
      <c r="P78" s="3" t="s">
        <v>1082</v>
      </c>
    </row>
    <row r="79" customFormat="false" ht="46.25" hidden="false" customHeight="false" outlineLevel="0" collapsed="false">
      <c r="A79" s="14" t="s">
        <v>17</v>
      </c>
      <c r="B79" s="4" t="s">
        <v>1083</v>
      </c>
      <c r="C79" s="3" t="s">
        <v>429</v>
      </c>
      <c r="D79" s="3" t="s">
        <v>440</v>
      </c>
      <c r="E79" s="3" t="s">
        <v>539</v>
      </c>
      <c r="F79" s="6" t="n">
        <v>962000</v>
      </c>
      <c r="G79" s="6" t="n">
        <v>865800</v>
      </c>
      <c r="H79" s="3" t="s">
        <v>718</v>
      </c>
      <c r="I79" s="4" t="s">
        <v>1084</v>
      </c>
      <c r="J79" s="4" t="s">
        <v>1085</v>
      </c>
      <c r="K79" s="3" t="s">
        <v>428</v>
      </c>
      <c r="L79" s="3" t="s">
        <v>509</v>
      </c>
      <c r="M79" s="3"/>
      <c r="N79" s="3" t="s">
        <v>552</v>
      </c>
      <c r="O79" s="8" t="s">
        <v>27</v>
      </c>
      <c r="P79" s="3" t="s">
        <v>1086</v>
      </c>
    </row>
    <row r="80" customFormat="false" ht="57.45" hidden="false" customHeight="false" outlineLevel="0" collapsed="false">
      <c r="A80" s="14" t="s">
        <v>17</v>
      </c>
      <c r="B80" s="4" t="s">
        <v>1087</v>
      </c>
      <c r="C80" s="3" t="s">
        <v>224</v>
      </c>
      <c r="D80" s="3" t="s">
        <v>224</v>
      </c>
      <c r="E80" s="3" t="s">
        <v>573</v>
      </c>
      <c r="F80" s="6" t="n">
        <v>960300</v>
      </c>
      <c r="G80" s="6" t="n">
        <v>864270</v>
      </c>
      <c r="H80" s="3" t="s">
        <v>718</v>
      </c>
      <c r="I80" s="4" t="s">
        <v>1088</v>
      </c>
      <c r="J80" s="4" t="s">
        <v>1089</v>
      </c>
      <c r="K80" s="3" t="s">
        <v>223</v>
      </c>
      <c r="L80" s="3" t="s">
        <v>509</v>
      </c>
      <c r="M80" s="3" t="s">
        <v>924</v>
      </c>
      <c r="N80" s="3" t="s">
        <v>925</v>
      </c>
      <c r="O80" s="8" t="s">
        <v>27</v>
      </c>
      <c r="P80" s="3" t="s">
        <v>1090</v>
      </c>
    </row>
    <row r="81" customFormat="false" ht="79.85" hidden="false" customHeight="false" outlineLevel="0" collapsed="false">
      <c r="A81" s="14" t="s">
        <v>17</v>
      </c>
      <c r="B81" s="4" t="s">
        <v>1091</v>
      </c>
      <c r="C81" s="3" t="s">
        <v>230</v>
      </c>
      <c r="D81" s="3" t="s">
        <v>717</v>
      </c>
      <c r="E81" s="3" t="s">
        <v>501</v>
      </c>
      <c r="F81" s="6" t="n">
        <v>958800</v>
      </c>
      <c r="G81" s="6" t="n">
        <v>862920</v>
      </c>
      <c r="H81" s="3" t="s">
        <v>718</v>
      </c>
      <c r="I81" s="4" t="s">
        <v>1092</v>
      </c>
      <c r="J81" s="4" t="s">
        <v>1093</v>
      </c>
      <c r="K81" s="3" t="s">
        <v>229</v>
      </c>
      <c r="L81" s="3" t="s">
        <v>509</v>
      </c>
      <c r="M81" s="3" t="s">
        <v>934</v>
      </c>
      <c r="N81" s="3" t="s">
        <v>935</v>
      </c>
      <c r="O81" s="8" t="s">
        <v>27</v>
      </c>
      <c r="P81" s="3" t="s">
        <v>1094</v>
      </c>
    </row>
    <row r="82" customFormat="false" ht="46.25" hidden="false" customHeight="false" outlineLevel="0" collapsed="false">
      <c r="A82" s="14" t="s">
        <v>17</v>
      </c>
      <c r="B82" s="4" t="s">
        <v>1095</v>
      </c>
      <c r="C82" s="3" t="s">
        <v>227</v>
      </c>
      <c r="D82" s="3" t="s">
        <v>227</v>
      </c>
      <c r="E82" s="3" t="s">
        <v>539</v>
      </c>
      <c r="F82" s="6" t="n">
        <v>947800</v>
      </c>
      <c r="G82" s="6" t="n">
        <v>853020</v>
      </c>
      <c r="H82" s="3" t="s">
        <v>718</v>
      </c>
      <c r="I82" s="4" t="s">
        <v>1096</v>
      </c>
      <c r="J82" s="4" t="s">
        <v>1097</v>
      </c>
      <c r="K82" s="3" t="s">
        <v>226</v>
      </c>
      <c r="L82" s="3" t="s">
        <v>509</v>
      </c>
      <c r="M82" s="3" t="s">
        <v>929</v>
      </c>
      <c r="N82" s="3" t="s">
        <v>930</v>
      </c>
      <c r="O82" s="8" t="s">
        <v>27</v>
      </c>
      <c r="P82" s="3" t="s">
        <v>1098</v>
      </c>
    </row>
    <row r="83" customFormat="false" ht="46.25" hidden="false" customHeight="false" outlineLevel="0" collapsed="false">
      <c r="A83" s="14" t="s">
        <v>17</v>
      </c>
      <c r="B83" s="4" t="s">
        <v>270</v>
      </c>
      <c r="C83" s="3" t="s">
        <v>269</v>
      </c>
      <c r="D83" s="3" t="s">
        <v>1099</v>
      </c>
      <c r="E83" s="3" t="s">
        <v>691</v>
      </c>
      <c r="F83" s="6" t="n">
        <v>932500</v>
      </c>
      <c r="G83" s="6" t="n">
        <v>839250</v>
      </c>
      <c r="H83" s="3" t="s">
        <v>985</v>
      </c>
      <c r="I83" s="4" t="s">
        <v>1100</v>
      </c>
      <c r="J83" s="4" t="s">
        <v>1101</v>
      </c>
      <c r="K83" s="3" t="s">
        <v>268</v>
      </c>
      <c r="L83" s="3" t="s">
        <v>509</v>
      </c>
      <c r="M83" s="3" t="s">
        <v>1102</v>
      </c>
      <c r="N83" s="3" t="s">
        <v>1103</v>
      </c>
      <c r="O83" s="8" t="s">
        <v>27</v>
      </c>
      <c r="P83" s="3" t="s">
        <v>1104</v>
      </c>
    </row>
    <row r="84" customFormat="false" ht="57.45" hidden="false" customHeight="false" outlineLevel="0" collapsed="false">
      <c r="A84" s="14" t="s">
        <v>17</v>
      </c>
      <c r="B84" s="4" t="s">
        <v>1105</v>
      </c>
      <c r="C84" s="3" t="s">
        <v>154</v>
      </c>
      <c r="D84" s="3" t="s">
        <v>194</v>
      </c>
      <c r="E84" s="3" t="s">
        <v>501</v>
      </c>
      <c r="F84" s="6" t="n">
        <v>932500</v>
      </c>
      <c r="G84" s="6" t="n">
        <v>839250</v>
      </c>
      <c r="H84" s="3" t="s">
        <v>718</v>
      </c>
      <c r="I84" s="4" t="s">
        <v>1106</v>
      </c>
      <c r="J84" s="4" t="s">
        <v>1107</v>
      </c>
      <c r="K84" s="3" t="s">
        <v>153</v>
      </c>
      <c r="L84" s="3" t="s">
        <v>509</v>
      </c>
      <c r="M84" s="3"/>
      <c r="N84" s="3" t="s">
        <v>730</v>
      </c>
      <c r="O84" s="8" t="s">
        <v>27</v>
      </c>
      <c r="P84" s="3" t="s">
        <v>1108</v>
      </c>
    </row>
    <row r="85" customFormat="false" ht="91" hidden="false" customHeight="false" outlineLevel="0" collapsed="false">
      <c r="A85" s="14" t="s">
        <v>17</v>
      </c>
      <c r="B85" s="4" t="s">
        <v>1109</v>
      </c>
      <c r="C85" s="3" t="s">
        <v>203</v>
      </c>
      <c r="D85" s="3" t="s">
        <v>164</v>
      </c>
      <c r="E85" s="3" t="s">
        <v>691</v>
      </c>
      <c r="F85" s="6" t="n">
        <v>930000</v>
      </c>
      <c r="G85" s="6" t="n">
        <v>837000</v>
      </c>
      <c r="H85" s="3" t="s">
        <v>985</v>
      </c>
      <c r="I85" s="4" t="s">
        <v>1110</v>
      </c>
      <c r="J85" s="4" t="s">
        <v>1111</v>
      </c>
      <c r="K85" s="3" t="s">
        <v>202</v>
      </c>
      <c r="L85" s="3" t="s">
        <v>509</v>
      </c>
      <c r="M85" s="3" t="s">
        <v>854</v>
      </c>
      <c r="N85" s="3" t="s">
        <v>855</v>
      </c>
      <c r="O85" s="8" t="s">
        <v>27</v>
      </c>
      <c r="P85" s="3" t="s">
        <v>1112</v>
      </c>
    </row>
    <row r="86" customFormat="false" ht="68.65" hidden="false" customHeight="false" outlineLevel="0" collapsed="false">
      <c r="A86" s="14" t="s">
        <v>17</v>
      </c>
      <c r="B86" s="4" t="s">
        <v>273</v>
      </c>
      <c r="C86" s="3" t="s">
        <v>272</v>
      </c>
      <c r="D86" s="3" t="s">
        <v>272</v>
      </c>
      <c r="E86" s="3" t="s">
        <v>573</v>
      </c>
      <c r="F86" s="6" t="n">
        <v>908400</v>
      </c>
      <c r="G86" s="6" t="n">
        <v>817560</v>
      </c>
      <c r="H86" s="3" t="s">
        <v>718</v>
      </c>
      <c r="I86" s="4" t="s">
        <v>1113</v>
      </c>
      <c r="J86" s="4" t="s">
        <v>1114</v>
      </c>
      <c r="K86" s="3" t="s">
        <v>271</v>
      </c>
      <c r="L86" s="3" t="s">
        <v>515</v>
      </c>
      <c r="M86" s="3" t="s">
        <v>1115</v>
      </c>
      <c r="N86" s="3" t="s">
        <v>1116</v>
      </c>
      <c r="O86" s="8" t="s">
        <v>27</v>
      </c>
      <c r="P86" s="3" t="s">
        <v>1117</v>
      </c>
    </row>
    <row r="87" customFormat="false" ht="46.25" hidden="false" customHeight="false" outlineLevel="0" collapsed="false">
      <c r="A87" s="14" t="s">
        <v>17</v>
      </c>
      <c r="B87" s="4" t="s">
        <v>276</v>
      </c>
      <c r="C87" s="3" t="s">
        <v>275</v>
      </c>
      <c r="D87" s="3" t="s">
        <v>748</v>
      </c>
      <c r="E87" s="3" t="s">
        <v>501</v>
      </c>
      <c r="F87" s="6" t="n">
        <v>900000</v>
      </c>
      <c r="G87" s="6" t="n">
        <v>810000</v>
      </c>
      <c r="H87" s="3" t="s">
        <v>718</v>
      </c>
      <c r="I87" s="4" t="s">
        <v>1118</v>
      </c>
      <c r="J87" s="4" t="s">
        <v>891</v>
      </c>
      <c r="K87" s="3" t="s">
        <v>274</v>
      </c>
      <c r="L87" s="3" t="s">
        <v>509</v>
      </c>
      <c r="M87" s="3" t="s">
        <v>1119</v>
      </c>
      <c r="N87" s="3" t="s">
        <v>1120</v>
      </c>
      <c r="O87" s="8" t="s">
        <v>27</v>
      </c>
      <c r="P87" s="3" t="s">
        <v>1121</v>
      </c>
    </row>
    <row r="88" customFormat="false" ht="46.25" hidden="false" customHeight="false" outlineLevel="0" collapsed="false">
      <c r="A88" s="14" t="s">
        <v>17</v>
      </c>
      <c r="B88" s="4" t="s">
        <v>1122</v>
      </c>
      <c r="C88" s="3" t="s">
        <v>218</v>
      </c>
      <c r="D88" s="3" t="s">
        <v>717</v>
      </c>
      <c r="E88" s="3" t="s">
        <v>501</v>
      </c>
      <c r="F88" s="6" t="n">
        <v>891300</v>
      </c>
      <c r="G88" s="6" t="n">
        <v>802170</v>
      </c>
      <c r="H88" s="3" t="s">
        <v>718</v>
      </c>
      <c r="I88" s="4" t="s">
        <v>1123</v>
      </c>
      <c r="J88" s="4" t="s">
        <v>1124</v>
      </c>
      <c r="K88" s="3" t="s">
        <v>217</v>
      </c>
      <c r="L88" s="3" t="s">
        <v>509</v>
      </c>
      <c r="M88" s="3"/>
      <c r="N88" s="3" t="s">
        <v>915</v>
      </c>
      <c r="O88" s="8" t="s">
        <v>27</v>
      </c>
      <c r="P88" s="3" t="s">
        <v>1125</v>
      </c>
    </row>
    <row r="89" customFormat="false" ht="79.85" hidden="false" customHeight="false" outlineLevel="0" collapsed="false">
      <c r="A89" s="14" t="s">
        <v>17</v>
      </c>
      <c r="B89" s="4" t="s">
        <v>279</v>
      </c>
      <c r="C89" s="3" t="s">
        <v>278</v>
      </c>
      <c r="D89" s="3" t="s">
        <v>278</v>
      </c>
      <c r="E89" s="3" t="s">
        <v>691</v>
      </c>
      <c r="F89" s="6" t="n">
        <v>890000</v>
      </c>
      <c r="G89" s="6" t="n">
        <v>801000</v>
      </c>
      <c r="H89" s="3" t="s">
        <v>985</v>
      </c>
      <c r="I89" s="4" t="s">
        <v>1126</v>
      </c>
      <c r="J89" s="4" t="s">
        <v>1127</v>
      </c>
      <c r="K89" s="3" t="s">
        <v>277</v>
      </c>
      <c r="L89" s="3" t="s">
        <v>515</v>
      </c>
      <c r="M89" s="3" t="s">
        <v>1128</v>
      </c>
      <c r="N89" s="3" t="s">
        <v>1129</v>
      </c>
      <c r="O89" s="8" t="s">
        <v>27</v>
      </c>
      <c r="P89" s="3" t="s">
        <v>1130</v>
      </c>
    </row>
    <row r="90" customFormat="false" ht="46.25" hidden="false" customHeight="false" outlineLevel="0" collapsed="false">
      <c r="A90" s="14" t="s">
        <v>17</v>
      </c>
      <c r="B90" s="4" t="s">
        <v>1131</v>
      </c>
      <c r="C90" s="3" t="s">
        <v>327</v>
      </c>
      <c r="D90" s="3" t="s">
        <v>769</v>
      </c>
      <c r="E90" s="3" t="s">
        <v>501</v>
      </c>
      <c r="F90" s="6" t="n">
        <v>1597600</v>
      </c>
      <c r="G90" s="6" t="n">
        <v>798800</v>
      </c>
      <c r="H90" s="3" t="s">
        <v>718</v>
      </c>
      <c r="I90" s="4" t="s">
        <v>1132</v>
      </c>
      <c r="J90" s="4" t="s">
        <v>1133</v>
      </c>
      <c r="K90" s="3" t="s">
        <v>326</v>
      </c>
      <c r="L90" s="3" t="s">
        <v>509</v>
      </c>
      <c r="M90" s="3" t="s">
        <v>523</v>
      </c>
      <c r="N90" s="3" t="s">
        <v>524</v>
      </c>
      <c r="O90" s="8" t="s">
        <v>27</v>
      </c>
      <c r="P90" s="3" t="s">
        <v>1134</v>
      </c>
    </row>
    <row r="91" customFormat="false" ht="57.45" hidden="false" customHeight="false" outlineLevel="0" collapsed="false">
      <c r="A91" s="14" t="s">
        <v>17</v>
      </c>
      <c r="B91" s="4" t="s">
        <v>282</v>
      </c>
      <c r="C91" s="3" t="s">
        <v>281</v>
      </c>
      <c r="D91" s="3" t="s">
        <v>846</v>
      </c>
      <c r="E91" s="3" t="s">
        <v>691</v>
      </c>
      <c r="F91" s="6" t="n">
        <v>959000</v>
      </c>
      <c r="G91" s="6" t="n">
        <v>785375</v>
      </c>
      <c r="H91" s="3" t="s">
        <v>985</v>
      </c>
      <c r="I91" s="4" t="s">
        <v>1135</v>
      </c>
      <c r="J91" s="4" t="s">
        <v>1136</v>
      </c>
      <c r="K91" s="3" t="s">
        <v>280</v>
      </c>
      <c r="L91" s="3" t="s">
        <v>509</v>
      </c>
      <c r="M91" s="3" t="s">
        <v>1137</v>
      </c>
      <c r="N91" s="3" t="s">
        <v>1138</v>
      </c>
      <c r="O91" s="8" t="s">
        <v>27</v>
      </c>
      <c r="P91" s="3" t="s">
        <v>1139</v>
      </c>
    </row>
    <row r="92" customFormat="false" ht="57.45" hidden="false" customHeight="false" outlineLevel="0" collapsed="false">
      <c r="A92" s="14" t="s">
        <v>17</v>
      </c>
      <c r="B92" s="4" t="s">
        <v>1140</v>
      </c>
      <c r="C92" s="3" t="s">
        <v>768</v>
      </c>
      <c r="D92" s="3" t="s">
        <v>769</v>
      </c>
      <c r="E92" s="3" t="s">
        <v>501</v>
      </c>
      <c r="F92" s="6" t="n">
        <v>846400</v>
      </c>
      <c r="G92" s="6" t="n">
        <v>761760</v>
      </c>
      <c r="H92" s="3" t="s">
        <v>718</v>
      </c>
      <c r="I92" s="4" t="s">
        <v>1141</v>
      </c>
      <c r="J92" s="4" t="s">
        <v>1142</v>
      </c>
      <c r="K92" s="3"/>
      <c r="L92" s="3"/>
      <c r="M92" s="3"/>
      <c r="N92" s="3"/>
      <c r="O92" s="8" t="s">
        <v>27</v>
      </c>
      <c r="P92" s="3" t="s">
        <v>1143</v>
      </c>
    </row>
    <row r="93" customFormat="false" ht="102.2" hidden="false" customHeight="false" outlineLevel="0" collapsed="false">
      <c r="A93" s="14" t="s">
        <v>17</v>
      </c>
      <c r="B93" s="4" t="s">
        <v>1144</v>
      </c>
      <c r="C93" s="3" t="s">
        <v>215</v>
      </c>
      <c r="D93" s="3" t="s">
        <v>717</v>
      </c>
      <c r="E93" s="3" t="s">
        <v>539</v>
      </c>
      <c r="F93" s="6" t="n">
        <v>833500</v>
      </c>
      <c r="G93" s="6" t="n">
        <v>750150</v>
      </c>
      <c r="H93" s="3" t="s">
        <v>718</v>
      </c>
      <c r="I93" s="4" t="s">
        <v>1145</v>
      </c>
      <c r="J93" s="4" t="s">
        <v>1146</v>
      </c>
      <c r="K93" s="3" t="s">
        <v>214</v>
      </c>
      <c r="L93" s="3" t="s">
        <v>509</v>
      </c>
      <c r="M93" s="3" t="s">
        <v>896</v>
      </c>
      <c r="N93" s="3" t="s">
        <v>897</v>
      </c>
      <c r="O93" s="8" t="s">
        <v>27</v>
      </c>
      <c r="P93" s="3" t="s">
        <v>1147</v>
      </c>
    </row>
    <row r="94" customFormat="false" ht="68.65" hidden="false" customHeight="false" outlineLevel="0" collapsed="false">
      <c r="A94" s="14" t="s">
        <v>17</v>
      </c>
      <c r="B94" s="4" t="s">
        <v>1148</v>
      </c>
      <c r="C94" s="3" t="s">
        <v>272</v>
      </c>
      <c r="D94" s="3" t="s">
        <v>272</v>
      </c>
      <c r="E94" s="3" t="s">
        <v>691</v>
      </c>
      <c r="F94" s="6" t="n">
        <v>831700</v>
      </c>
      <c r="G94" s="6" t="n">
        <v>748530</v>
      </c>
      <c r="H94" s="3" t="s">
        <v>985</v>
      </c>
      <c r="I94" s="4" t="s">
        <v>1149</v>
      </c>
      <c r="J94" s="4" t="s">
        <v>1150</v>
      </c>
      <c r="K94" s="3" t="s">
        <v>271</v>
      </c>
      <c r="L94" s="3" t="s">
        <v>515</v>
      </c>
      <c r="M94" s="3" t="s">
        <v>1115</v>
      </c>
      <c r="N94" s="3" t="s">
        <v>1116</v>
      </c>
      <c r="O94" s="8" t="s">
        <v>27</v>
      </c>
      <c r="P94" s="3" t="s">
        <v>1151</v>
      </c>
    </row>
    <row r="95" customFormat="false" ht="57.45" hidden="false" customHeight="false" outlineLevel="0" collapsed="false">
      <c r="A95" s="14" t="s">
        <v>17</v>
      </c>
      <c r="B95" s="4" t="s">
        <v>1152</v>
      </c>
      <c r="C95" s="3" t="s">
        <v>224</v>
      </c>
      <c r="D95" s="3" t="s">
        <v>224</v>
      </c>
      <c r="E95" s="3" t="s">
        <v>501</v>
      </c>
      <c r="F95" s="6" t="n">
        <v>829900</v>
      </c>
      <c r="G95" s="6" t="n">
        <v>746910</v>
      </c>
      <c r="H95" s="3" t="s">
        <v>718</v>
      </c>
      <c r="I95" s="4" t="s">
        <v>1153</v>
      </c>
      <c r="J95" s="4" t="s">
        <v>1154</v>
      </c>
      <c r="K95" s="3" t="s">
        <v>223</v>
      </c>
      <c r="L95" s="3" t="s">
        <v>509</v>
      </c>
      <c r="M95" s="3" t="s">
        <v>924</v>
      </c>
      <c r="N95" s="3" t="s">
        <v>925</v>
      </c>
      <c r="O95" s="8" t="s">
        <v>27</v>
      </c>
      <c r="P95" s="3" t="s">
        <v>1155</v>
      </c>
    </row>
    <row r="96" customFormat="false" ht="68.65" hidden="false" customHeight="false" outlineLevel="0" collapsed="false">
      <c r="A96" s="14" t="s">
        <v>17</v>
      </c>
      <c r="B96" s="4" t="s">
        <v>285</v>
      </c>
      <c r="C96" s="3" t="s">
        <v>284</v>
      </c>
      <c r="D96" s="3" t="s">
        <v>717</v>
      </c>
      <c r="E96" s="3" t="s">
        <v>573</v>
      </c>
      <c r="F96" s="6" t="n">
        <v>779300</v>
      </c>
      <c r="G96" s="6" t="n">
        <v>701370</v>
      </c>
      <c r="H96" s="3" t="s">
        <v>718</v>
      </c>
      <c r="I96" s="4" t="s">
        <v>1156</v>
      </c>
      <c r="J96" s="4" t="s">
        <v>1157</v>
      </c>
      <c r="K96" s="3" t="s">
        <v>283</v>
      </c>
      <c r="L96" s="3" t="s">
        <v>509</v>
      </c>
      <c r="M96" s="3"/>
      <c r="N96" s="3" t="s">
        <v>1158</v>
      </c>
      <c r="O96" s="8" t="s">
        <v>27</v>
      </c>
      <c r="P96" s="3" t="s">
        <v>1159</v>
      </c>
    </row>
    <row r="97" customFormat="false" ht="46.25" hidden="false" customHeight="false" outlineLevel="0" collapsed="false">
      <c r="A97" s="14" t="s">
        <v>17</v>
      </c>
      <c r="B97" s="4" t="s">
        <v>1160</v>
      </c>
      <c r="C97" s="3" t="s">
        <v>429</v>
      </c>
      <c r="D97" s="3" t="s">
        <v>440</v>
      </c>
      <c r="E97" s="3" t="s">
        <v>539</v>
      </c>
      <c r="F97" s="6" t="n">
        <v>766900</v>
      </c>
      <c r="G97" s="6" t="n">
        <v>690210</v>
      </c>
      <c r="H97" s="3" t="s">
        <v>718</v>
      </c>
      <c r="I97" s="4" t="s">
        <v>1161</v>
      </c>
      <c r="J97" s="4" t="s">
        <v>1162</v>
      </c>
      <c r="K97" s="3" t="s">
        <v>428</v>
      </c>
      <c r="L97" s="3" t="s">
        <v>509</v>
      </c>
      <c r="M97" s="3"/>
      <c r="N97" s="3" t="s">
        <v>552</v>
      </c>
      <c r="O97" s="8" t="s">
        <v>27</v>
      </c>
      <c r="P97" s="3" t="s">
        <v>1163</v>
      </c>
    </row>
    <row r="98" customFormat="false" ht="46.25" hidden="false" customHeight="false" outlineLevel="0" collapsed="false">
      <c r="A98" s="14" t="s">
        <v>17</v>
      </c>
      <c r="B98" s="4" t="s">
        <v>1164</v>
      </c>
      <c r="C98" s="3" t="s">
        <v>612</v>
      </c>
      <c r="D98" s="3" t="s">
        <v>224</v>
      </c>
      <c r="E98" s="3" t="s">
        <v>501</v>
      </c>
      <c r="F98" s="6" t="n">
        <v>734800</v>
      </c>
      <c r="G98" s="6" t="n">
        <v>661320</v>
      </c>
      <c r="H98" s="3" t="s">
        <v>718</v>
      </c>
      <c r="I98" s="4" t="s">
        <v>1165</v>
      </c>
      <c r="J98" s="4" t="s">
        <v>1166</v>
      </c>
      <c r="K98" s="3"/>
      <c r="L98" s="3"/>
      <c r="M98" s="3"/>
      <c r="N98" s="3"/>
      <c r="O98" s="8" t="s">
        <v>27</v>
      </c>
      <c r="P98" s="3" t="s">
        <v>1167</v>
      </c>
    </row>
    <row r="99" customFormat="false" ht="79.85" hidden="false" customHeight="false" outlineLevel="0" collapsed="false">
      <c r="A99" s="14" t="s">
        <v>17</v>
      </c>
      <c r="B99" s="4" t="s">
        <v>288</v>
      </c>
      <c r="C99" s="3" t="s">
        <v>287</v>
      </c>
      <c r="D99" s="3" t="s">
        <v>299</v>
      </c>
      <c r="E99" s="3" t="s">
        <v>573</v>
      </c>
      <c r="F99" s="6" t="n">
        <v>825800</v>
      </c>
      <c r="G99" s="6" t="n">
        <v>653220</v>
      </c>
      <c r="H99" s="3" t="s">
        <v>1168</v>
      </c>
      <c r="I99" s="4" t="s">
        <v>1169</v>
      </c>
      <c r="J99" s="4" t="s">
        <v>1170</v>
      </c>
      <c r="K99" s="3" t="s">
        <v>286</v>
      </c>
      <c r="L99" s="3" t="s">
        <v>509</v>
      </c>
      <c r="M99" s="3" t="s">
        <v>1171</v>
      </c>
      <c r="N99" s="3" t="s">
        <v>1172</v>
      </c>
      <c r="O99" s="8" t="s">
        <v>27</v>
      </c>
      <c r="P99" s="3" t="s">
        <v>1173</v>
      </c>
    </row>
    <row r="100" customFormat="false" ht="46.25" hidden="false" customHeight="false" outlineLevel="0" collapsed="false">
      <c r="A100" s="14" t="s">
        <v>17</v>
      </c>
      <c r="B100" s="4" t="s">
        <v>291</v>
      </c>
      <c r="C100" s="3" t="s">
        <v>290</v>
      </c>
      <c r="D100" s="3" t="s">
        <v>769</v>
      </c>
      <c r="E100" s="3" t="s">
        <v>501</v>
      </c>
      <c r="F100" s="6" t="n">
        <v>721800</v>
      </c>
      <c r="G100" s="6" t="n">
        <v>642402</v>
      </c>
      <c r="H100" s="3" t="s">
        <v>718</v>
      </c>
      <c r="I100" s="4" t="s">
        <v>1174</v>
      </c>
      <c r="J100" s="4" t="s">
        <v>1175</v>
      </c>
      <c r="K100" s="3" t="s">
        <v>289</v>
      </c>
      <c r="L100" s="3" t="s">
        <v>509</v>
      </c>
      <c r="M100" s="3" t="s">
        <v>1176</v>
      </c>
      <c r="N100" s="3" t="s">
        <v>1177</v>
      </c>
      <c r="O100" s="8" t="s">
        <v>27</v>
      </c>
      <c r="P100" s="3" t="s">
        <v>1178</v>
      </c>
    </row>
    <row r="101" customFormat="false" ht="102.2" hidden="false" customHeight="false" outlineLevel="0" collapsed="false">
      <c r="A101" s="14" t="s">
        <v>17</v>
      </c>
      <c r="B101" s="4" t="s">
        <v>294</v>
      </c>
      <c r="C101" s="3" t="s">
        <v>293</v>
      </c>
      <c r="D101" s="3" t="s">
        <v>717</v>
      </c>
      <c r="E101" s="3" t="s">
        <v>573</v>
      </c>
      <c r="F101" s="6" t="n">
        <v>709300</v>
      </c>
      <c r="G101" s="6" t="n">
        <v>638370</v>
      </c>
      <c r="H101" s="3" t="s">
        <v>718</v>
      </c>
      <c r="I101" s="4" t="s">
        <v>1179</v>
      </c>
      <c r="J101" s="4" t="s">
        <v>1180</v>
      </c>
      <c r="K101" s="3" t="s">
        <v>292</v>
      </c>
      <c r="L101" s="3" t="s">
        <v>509</v>
      </c>
      <c r="M101" s="3" t="s">
        <v>1181</v>
      </c>
      <c r="N101" s="3" t="s">
        <v>1182</v>
      </c>
      <c r="O101" s="8" t="s">
        <v>27</v>
      </c>
      <c r="P101" s="3" t="s">
        <v>1183</v>
      </c>
    </row>
    <row r="102" customFormat="false" ht="91" hidden="false" customHeight="false" outlineLevel="0" collapsed="false">
      <c r="A102" s="14" t="s">
        <v>17</v>
      </c>
      <c r="B102" s="4" t="s">
        <v>1184</v>
      </c>
      <c r="C102" s="3" t="s">
        <v>215</v>
      </c>
      <c r="D102" s="3" t="s">
        <v>717</v>
      </c>
      <c r="E102" s="3" t="s">
        <v>501</v>
      </c>
      <c r="F102" s="6" t="n">
        <v>650800</v>
      </c>
      <c r="G102" s="6" t="n">
        <v>585720</v>
      </c>
      <c r="H102" s="3" t="s">
        <v>718</v>
      </c>
      <c r="I102" s="4" t="s">
        <v>1185</v>
      </c>
      <c r="J102" s="4" t="s">
        <v>1186</v>
      </c>
      <c r="K102" s="3" t="s">
        <v>214</v>
      </c>
      <c r="L102" s="3" t="s">
        <v>509</v>
      </c>
      <c r="M102" s="3" t="s">
        <v>896</v>
      </c>
      <c r="N102" s="3" t="s">
        <v>897</v>
      </c>
      <c r="O102" s="8" t="s">
        <v>27</v>
      </c>
      <c r="P102" s="3" t="s">
        <v>1187</v>
      </c>
    </row>
    <row r="103" customFormat="false" ht="68.65" hidden="false" customHeight="false" outlineLevel="0" collapsed="false">
      <c r="A103" s="14" t="s">
        <v>17</v>
      </c>
      <c r="B103" s="4" t="s">
        <v>1188</v>
      </c>
      <c r="C103" s="3" t="s">
        <v>446</v>
      </c>
      <c r="D103" s="3" t="s">
        <v>769</v>
      </c>
      <c r="E103" s="3" t="s">
        <v>501</v>
      </c>
      <c r="F103" s="6" t="n">
        <v>1105700</v>
      </c>
      <c r="G103" s="6" t="n">
        <v>552850</v>
      </c>
      <c r="H103" s="3" t="s">
        <v>718</v>
      </c>
      <c r="I103" s="4" t="s">
        <v>1189</v>
      </c>
      <c r="J103" s="4" t="s">
        <v>1190</v>
      </c>
      <c r="K103" s="3" t="s">
        <v>445</v>
      </c>
      <c r="L103" s="3" t="s">
        <v>515</v>
      </c>
      <c r="M103" s="3" t="s">
        <v>586</v>
      </c>
      <c r="N103" s="3" t="s">
        <v>587</v>
      </c>
      <c r="O103" s="8" t="s">
        <v>27</v>
      </c>
      <c r="P103" s="3" t="s">
        <v>1191</v>
      </c>
    </row>
    <row r="104" customFormat="false" ht="46.25" hidden="false" customHeight="false" outlineLevel="0" collapsed="false">
      <c r="A104" s="14" t="s">
        <v>17</v>
      </c>
      <c r="B104" s="4" t="s">
        <v>297</v>
      </c>
      <c r="C104" s="3" t="s">
        <v>296</v>
      </c>
      <c r="D104" s="3" t="s">
        <v>296</v>
      </c>
      <c r="E104" s="3" t="s">
        <v>501</v>
      </c>
      <c r="F104" s="6" t="n">
        <v>601000</v>
      </c>
      <c r="G104" s="6" t="n">
        <v>540900</v>
      </c>
      <c r="H104" s="3" t="s">
        <v>718</v>
      </c>
      <c r="I104" s="4" t="s">
        <v>728</v>
      </c>
      <c r="J104" s="4" t="s">
        <v>1192</v>
      </c>
      <c r="K104" s="3" t="s">
        <v>295</v>
      </c>
      <c r="L104" s="3" t="s">
        <v>509</v>
      </c>
      <c r="M104" s="3" t="s">
        <v>1193</v>
      </c>
      <c r="N104" s="3" t="s">
        <v>1194</v>
      </c>
      <c r="O104" s="8" t="s">
        <v>27</v>
      </c>
      <c r="P104" s="3" t="s">
        <v>1195</v>
      </c>
    </row>
    <row r="105" customFormat="false" ht="46.25" hidden="false" customHeight="false" outlineLevel="0" collapsed="false">
      <c r="A105" s="14" t="s">
        <v>17</v>
      </c>
      <c r="B105" s="4" t="s">
        <v>1196</v>
      </c>
      <c r="C105" s="3" t="s">
        <v>1197</v>
      </c>
      <c r="D105" s="3" t="s">
        <v>1198</v>
      </c>
      <c r="E105" s="3" t="s">
        <v>691</v>
      </c>
      <c r="F105" s="6" t="n">
        <v>600000</v>
      </c>
      <c r="G105" s="6" t="n">
        <v>540000</v>
      </c>
      <c r="H105" s="3" t="s">
        <v>985</v>
      </c>
      <c r="I105" s="4" t="s">
        <v>1199</v>
      </c>
      <c r="J105" s="4" t="s">
        <v>1015</v>
      </c>
      <c r="K105" s="3"/>
      <c r="L105" s="3"/>
      <c r="M105" s="3"/>
      <c r="N105" s="3"/>
      <c r="O105" s="8" t="s">
        <v>27</v>
      </c>
      <c r="P105" s="3" t="s">
        <v>1200</v>
      </c>
    </row>
    <row r="106" customFormat="false" ht="79.85" hidden="false" customHeight="false" outlineLevel="0" collapsed="false">
      <c r="A106" s="14" t="s">
        <v>17</v>
      </c>
      <c r="B106" s="4" t="s">
        <v>1201</v>
      </c>
      <c r="C106" s="3" t="s">
        <v>221</v>
      </c>
      <c r="D106" s="3" t="s">
        <v>221</v>
      </c>
      <c r="E106" s="3" t="s">
        <v>667</v>
      </c>
      <c r="F106" s="6" t="n">
        <v>599200</v>
      </c>
      <c r="G106" s="6" t="n">
        <v>539280</v>
      </c>
      <c r="H106" s="3" t="s">
        <v>718</v>
      </c>
      <c r="I106" s="4" t="s">
        <v>1202</v>
      </c>
      <c r="J106" s="4" t="s">
        <v>1203</v>
      </c>
      <c r="K106" s="3" t="s">
        <v>220</v>
      </c>
      <c r="L106" s="3" t="s">
        <v>509</v>
      </c>
      <c r="M106" s="3" t="s">
        <v>919</v>
      </c>
      <c r="N106" s="3" t="s">
        <v>920</v>
      </c>
      <c r="O106" s="8" t="s">
        <v>27</v>
      </c>
      <c r="P106" s="3" t="s">
        <v>1204</v>
      </c>
    </row>
    <row r="107" customFormat="false" ht="113.4" hidden="false" customHeight="false" outlineLevel="0" collapsed="false">
      <c r="A107" s="14" t="s">
        <v>17</v>
      </c>
      <c r="B107" s="4" t="s">
        <v>1205</v>
      </c>
      <c r="C107" s="3" t="s">
        <v>324</v>
      </c>
      <c r="D107" s="3" t="s">
        <v>863</v>
      </c>
      <c r="E107" s="3" t="s">
        <v>573</v>
      </c>
      <c r="F107" s="6" t="n">
        <v>647200</v>
      </c>
      <c r="G107" s="6" t="n">
        <v>537176</v>
      </c>
      <c r="H107" s="3" t="s">
        <v>718</v>
      </c>
      <c r="I107" s="4" t="s">
        <v>1206</v>
      </c>
      <c r="J107" s="4" t="s">
        <v>1207</v>
      </c>
      <c r="K107" s="3" t="s">
        <v>323</v>
      </c>
      <c r="L107" s="3" t="s">
        <v>515</v>
      </c>
      <c r="M107" s="3" t="s">
        <v>516</v>
      </c>
      <c r="N107" s="3" t="s">
        <v>517</v>
      </c>
      <c r="O107" s="8" t="s">
        <v>27</v>
      </c>
      <c r="P107" s="3" t="s">
        <v>1208</v>
      </c>
    </row>
    <row r="108" customFormat="false" ht="46.25" hidden="false" customHeight="false" outlineLevel="0" collapsed="false">
      <c r="A108" s="14" t="s">
        <v>17</v>
      </c>
      <c r="B108" s="4" t="s">
        <v>1209</v>
      </c>
      <c r="C108" s="3" t="s">
        <v>227</v>
      </c>
      <c r="D108" s="3" t="s">
        <v>227</v>
      </c>
      <c r="E108" s="3" t="s">
        <v>691</v>
      </c>
      <c r="F108" s="6" t="n">
        <v>580600</v>
      </c>
      <c r="G108" s="6" t="n">
        <v>522540</v>
      </c>
      <c r="H108" s="3" t="s">
        <v>718</v>
      </c>
      <c r="I108" s="4" t="s">
        <v>1210</v>
      </c>
      <c r="J108" s="4" t="s">
        <v>1211</v>
      </c>
      <c r="K108" s="3" t="s">
        <v>226</v>
      </c>
      <c r="L108" s="3" t="s">
        <v>509</v>
      </c>
      <c r="M108" s="3" t="s">
        <v>929</v>
      </c>
      <c r="N108" s="3" t="s">
        <v>930</v>
      </c>
      <c r="O108" s="8" t="s">
        <v>27</v>
      </c>
      <c r="P108" s="3" t="s">
        <v>1212</v>
      </c>
    </row>
    <row r="109" customFormat="false" ht="79.85" hidden="false" customHeight="false" outlineLevel="0" collapsed="false">
      <c r="A109" s="14" t="s">
        <v>17</v>
      </c>
      <c r="B109" s="4" t="s">
        <v>1213</v>
      </c>
      <c r="C109" s="3" t="s">
        <v>465</v>
      </c>
      <c r="D109" s="3" t="s">
        <v>846</v>
      </c>
      <c r="E109" s="3" t="s">
        <v>501</v>
      </c>
      <c r="F109" s="6" t="n">
        <v>566300</v>
      </c>
      <c r="G109" s="6" t="n">
        <v>509670</v>
      </c>
      <c r="H109" s="3" t="s">
        <v>718</v>
      </c>
      <c r="I109" s="4" t="s">
        <v>1214</v>
      </c>
      <c r="J109" s="4" t="s">
        <v>1215</v>
      </c>
      <c r="K109" s="3" t="s">
        <v>464</v>
      </c>
      <c r="L109" s="3" t="s">
        <v>509</v>
      </c>
      <c r="M109" s="3" t="s">
        <v>600</v>
      </c>
      <c r="N109" s="3" t="s">
        <v>616</v>
      </c>
      <c r="O109" s="8" t="s">
        <v>27</v>
      </c>
      <c r="P109" s="3" t="s">
        <v>1216</v>
      </c>
    </row>
    <row r="110" customFormat="false" ht="113.4" hidden="false" customHeight="false" outlineLevel="0" collapsed="false">
      <c r="A110" s="14" t="s">
        <v>17</v>
      </c>
      <c r="B110" s="4" t="s">
        <v>1217</v>
      </c>
      <c r="C110" s="3" t="s">
        <v>1218</v>
      </c>
      <c r="D110" s="3" t="s">
        <v>748</v>
      </c>
      <c r="E110" s="3" t="s">
        <v>573</v>
      </c>
      <c r="F110" s="6" t="n">
        <v>556500</v>
      </c>
      <c r="G110" s="6" t="n">
        <v>500850</v>
      </c>
      <c r="H110" s="3" t="s">
        <v>718</v>
      </c>
      <c r="I110" s="4" t="s">
        <v>1219</v>
      </c>
      <c r="J110" s="4" t="s">
        <v>1220</v>
      </c>
      <c r="K110" s="3"/>
      <c r="L110" s="3"/>
      <c r="M110" s="3"/>
      <c r="N110" s="3"/>
      <c r="O110" s="8" t="s">
        <v>27</v>
      </c>
      <c r="P110" s="3" t="s">
        <v>1221</v>
      </c>
    </row>
    <row r="111" customFormat="false" ht="68.65" hidden="false" customHeight="false" outlineLevel="0" collapsed="false">
      <c r="A111" s="14" t="s">
        <v>17</v>
      </c>
      <c r="B111" s="4" t="s">
        <v>300</v>
      </c>
      <c r="C111" s="3" t="s">
        <v>299</v>
      </c>
      <c r="D111" s="3" t="s">
        <v>299</v>
      </c>
      <c r="E111" s="3" t="s">
        <v>573</v>
      </c>
      <c r="F111" s="6" t="n">
        <v>555200</v>
      </c>
      <c r="G111" s="6" t="n">
        <v>499680</v>
      </c>
      <c r="H111" s="3" t="s">
        <v>718</v>
      </c>
      <c r="I111" s="4" t="s">
        <v>1222</v>
      </c>
      <c r="J111" s="4" t="s">
        <v>1223</v>
      </c>
      <c r="K111" s="3" t="s">
        <v>298</v>
      </c>
      <c r="L111" s="3" t="s">
        <v>509</v>
      </c>
      <c r="M111" s="3" t="s">
        <v>1224</v>
      </c>
      <c r="N111" s="3" t="s">
        <v>1225</v>
      </c>
      <c r="O111" s="8" t="s">
        <v>27</v>
      </c>
      <c r="P111" s="3" t="s">
        <v>1226</v>
      </c>
    </row>
    <row r="112" customFormat="false" ht="46.25" hidden="false" customHeight="false" outlineLevel="0" collapsed="false">
      <c r="A112" s="14" t="s">
        <v>17</v>
      </c>
      <c r="B112" s="4" t="s">
        <v>1227</v>
      </c>
      <c r="C112" s="3" t="s">
        <v>1228</v>
      </c>
      <c r="D112" s="3" t="s">
        <v>1229</v>
      </c>
      <c r="E112" s="3" t="s">
        <v>501</v>
      </c>
      <c r="F112" s="6" t="n">
        <v>543500</v>
      </c>
      <c r="G112" s="6" t="n">
        <v>489150</v>
      </c>
      <c r="H112" s="3" t="s">
        <v>718</v>
      </c>
      <c r="I112" s="4" t="s">
        <v>1230</v>
      </c>
      <c r="J112" s="4" t="s">
        <v>1231</v>
      </c>
      <c r="K112" s="3"/>
      <c r="L112" s="3"/>
      <c r="M112" s="3"/>
      <c r="N112" s="3"/>
      <c r="O112" s="8" t="s">
        <v>27</v>
      </c>
      <c r="P112" s="3" t="s">
        <v>1232</v>
      </c>
    </row>
    <row r="113" customFormat="false" ht="57.45" hidden="false" customHeight="false" outlineLevel="0" collapsed="false">
      <c r="A113" s="14" t="s">
        <v>17</v>
      </c>
      <c r="B113" s="4" t="s">
        <v>1233</v>
      </c>
      <c r="C113" s="3" t="s">
        <v>1234</v>
      </c>
      <c r="D113" s="3" t="s">
        <v>194</v>
      </c>
      <c r="E113" s="3" t="s">
        <v>539</v>
      </c>
      <c r="F113" s="6" t="n">
        <v>611900</v>
      </c>
      <c r="G113" s="6" t="n">
        <v>474750</v>
      </c>
      <c r="H113" s="3" t="s">
        <v>718</v>
      </c>
      <c r="I113" s="4" t="s">
        <v>1235</v>
      </c>
      <c r="J113" s="4" t="s">
        <v>1236</v>
      </c>
      <c r="K113" s="3"/>
      <c r="L113" s="3"/>
      <c r="M113" s="3"/>
      <c r="N113" s="3"/>
      <c r="O113" s="8" t="s">
        <v>27</v>
      </c>
      <c r="P113" s="3" t="s">
        <v>1237</v>
      </c>
    </row>
    <row r="114" customFormat="false" ht="68.65" hidden="false" customHeight="false" outlineLevel="0" collapsed="false">
      <c r="A114" s="14" t="s">
        <v>17</v>
      </c>
      <c r="B114" s="4" t="s">
        <v>1238</v>
      </c>
      <c r="C114" s="3" t="s">
        <v>227</v>
      </c>
      <c r="D114" s="3" t="s">
        <v>227</v>
      </c>
      <c r="E114" s="3" t="s">
        <v>501</v>
      </c>
      <c r="F114" s="6" t="n">
        <v>525500</v>
      </c>
      <c r="G114" s="6" t="n">
        <v>472950</v>
      </c>
      <c r="H114" s="3" t="s">
        <v>718</v>
      </c>
      <c r="I114" s="4" t="s">
        <v>1239</v>
      </c>
      <c r="J114" s="4" t="s">
        <v>1240</v>
      </c>
      <c r="K114" s="3" t="s">
        <v>226</v>
      </c>
      <c r="L114" s="3" t="s">
        <v>509</v>
      </c>
      <c r="M114" s="3" t="s">
        <v>929</v>
      </c>
      <c r="N114" s="3" t="s">
        <v>930</v>
      </c>
      <c r="O114" s="8" t="s">
        <v>27</v>
      </c>
      <c r="P114" s="3" t="s">
        <v>1241</v>
      </c>
    </row>
    <row r="115" customFormat="false" ht="68.65" hidden="false" customHeight="false" outlineLevel="0" collapsed="false">
      <c r="A115" s="14" t="s">
        <v>17</v>
      </c>
      <c r="B115" s="4" t="s">
        <v>303</v>
      </c>
      <c r="C115" s="3" t="s">
        <v>302</v>
      </c>
      <c r="D115" s="3" t="s">
        <v>717</v>
      </c>
      <c r="E115" s="3" t="s">
        <v>691</v>
      </c>
      <c r="F115" s="6" t="n">
        <v>520600</v>
      </c>
      <c r="G115" s="6" t="n">
        <v>468540</v>
      </c>
      <c r="H115" s="3" t="s">
        <v>985</v>
      </c>
      <c r="I115" s="4" t="s">
        <v>1242</v>
      </c>
      <c r="J115" s="4" t="s">
        <v>1243</v>
      </c>
      <c r="K115" s="3" t="s">
        <v>301</v>
      </c>
      <c r="L115" s="3" t="s">
        <v>509</v>
      </c>
      <c r="M115" s="3"/>
      <c r="N115" s="3" t="s">
        <v>1244</v>
      </c>
      <c r="O115" s="8" t="s">
        <v>27</v>
      </c>
      <c r="P115" s="3" t="s">
        <v>1245</v>
      </c>
    </row>
    <row r="116" customFormat="false" ht="46.25" hidden="false" customHeight="false" outlineLevel="0" collapsed="false">
      <c r="A116" s="14" t="s">
        <v>17</v>
      </c>
      <c r="B116" s="4" t="s">
        <v>306</v>
      </c>
      <c r="C116" s="3" t="s">
        <v>305</v>
      </c>
      <c r="D116" s="3" t="s">
        <v>305</v>
      </c>
      <c r="E116" s="3" t="s">
        <v>539</v>
      </c>
      <c r="F116" s="6" t="n">
        <v>518200</v>
      </c>
      <c r="G116" s="6" t="n">
        <v>466380</v>
      </c>
      <c r="H116" s="3" t="s">
        <v>718</v>
      </c>
      <c r="I116" s="4" t="s">
        <v>1246</v>
      </c>
      <c r="J116" s="4" t="s">
        <v>1247</v>
      </c>
      <c r="K116" s="3" t="s">
        <v>304</v>
      </c>
      <c r="L116" s="3" t="s">
        <v>509</v>
      </c>
      <c r="M116" s="3" t="s">
        <v>1248</v>
      </c>
      <c r="N116" s="3" t="s">
        <v>1249</v>
      </c>
      <c r="O116" s="8" t="s">
        <v>27</v>
      </c>
      <c r="P116" s="3" t="s">
        <v>1250</v>
      </c>
    </row>
    <row r="117" customFormat="false" ht="46.25" hidden="false" customHeight="false" outlineLevel="0" collapsed="false">
      <c r="A117" s="14" t="s">
        <v>17</v>
      </c>
      <c r="B117" s="4" t="s">
        <v>1251</v>
      </c>
      <c r="C117" s="3" t="s">
        <v>1252</v>
      </c>
      <c r="D117" s="3" t="s">
        <v>1198</v>
      </c>
      <c r="E117" s="3" t="s">
        <v>691</v>
      </c>
      <c r="F117" s="6" t="n">
        <v>510000</v>
      </c>
      <c r="G117" s="6" t="n">
        <v>459000</v>
      </c>
      <c r="H117" s="3" t="s">
        <v>985</v>
      </c>
      <c r="I117" s="4" t="s">
        <v>1253</v>
      </c>
      <c r="J117" s="4" t="s">
        <v>1015</v>
      </c>
      <c r="K117" s="3"/>
      <c r="L117" s="3"/>
      <c r="M117" s="3"/>
      <c r="N117" s="3"/>
      <c r="O117" s="8" t="s">
        <v>27</v>
      </c>
      <c r="P117" s="3" t="s">
        <v>1254</v>
      </c>
    </row>
    <row r="118" customFormat="false" ht="57.45" hidden="false" customHeight="false" outlineLevel="0" collapsed="false">
      <c r="A118" s="14" t="s">
        <v>17</v>
      </c>
      <c r="B118" s="4" t="s">
        <v>1255</v>
      </c>
      <c r="C118" s="3" t="s">
        <v>164</v>
      </c>
      <c r="D118" s="3" t="s">
        <v>164</v>
      </c>
      <c r="E118" s="3" t="s">
        <v>501</v>
      </c>
      <c r="F118" s="6" t="n">
        <v>508900</v>
      </c>
      <c r="G118" s="6" t="n">
        <v>458010</v>
      </c>
      <c r="H118" s="3" t="s">
        <v>718</v>
      </c>
      <c r="I118" s="4" t="s">
        <v>1256</v>
      </c>
      <c r="J118" s="4" t="s">
        <v>1257</v>
      </c>
      <c r="K118" s="3" t="s">
        <v>163</v>
      </c>
      <c r="L118" s="3" t="s">
        <v>515</v>
      </c>
      <c r="M118" s="3" t="s">
        <v>744</v>
      </c>
      <c r="N118" s="3" t="s">
        <v>745</v>
      </c>
      <c r="O118" s="8" t="s">
        <v>27</v>
      </c>
      <c r="P118" s="3" t="s">
        <v>1258</v>
      </c>
    </row>
    <row r="119" customFormat="false" ht="46.25" hidden="false" customHeight="false" outlineLevel="0" collapsed="false">
      <c r="A119" s="14" t="s">
        <v>17</v>
      </c>
      <c r="B119" s="4" t="s">
        <v>1259</v>
      </c>
      <c r="C119" s="3" t="s">
        <v>1260</v>
      </c>
      <c r="D119" s="3" t="s">
        <v>1261</v>
      </c>
      <c r="E119" s="3" t="s">
        <v>501</v>
      </c>
      <c r="F119" s="6" t="n">
        <v>903500</v>
      </c>
      <c r="G119" s="6" t="n">
        <v>451750</v>
      </c>
      <c r="H119" s="3" t="s">
        <v>718</v>
      </c>
      <c r="I119" s="4" t="s">
        <v>1262</v>
      </c>
      <c r="J119" s="4" t="s">
        <v>1263</v>
      </c>
      <c r="K119" s="3"/>
      <c r="L119" s="3"/>
      <c r="M119" s="3"/>
      <c r="N119" s="3"/>
      <c r="O119" s="8" t="s">
        <v>27</v>
      </c>
      <c r="P119" s="3" t="s">
        <v>1264</v>
      </c>
    </row>
    <row r="120" customFormat="false" ht="91" hidden="false" customHeight="false" outlineLevel="0" collapsed="false">
      <c r="A120" s="14" t="s">
        <v>17</v>
      </c>
      <c r="B120" s="4" t="s">
        <v>1265</v>
      </c>
      <c r="C120" s="3" t="s">
        <v>188</v>
      </c>
      <c r="D120" s="3" t="s">
        <v>188</v>
      </c>
      <c r="E120" s="3" t="s">
        <v>691</v>
      </c>
      <c r="F120" s="6" t="n">
        <v>500000</v>
      </c>
      <c r="G120" s="6" t="n">
        <v>450000</v>
      </c>
      <c r="H120" s="3" t="s">
        <v>985</v>
      </c>
      <c r="I120" s="4" t="s">
        <v>1266</v>
      </c>
      <c r="J120" s="4" t="s">
        <v>1267</v>
      </c>
      <c r="K120" s="3" t="s">
        <v>187</v>
      </c>
      <c r="L120" s="3" t="s">
        <v>509</v>
      </c>
      <c r="M120" s="3" t="s">
        <v>819</v>
      </c>
      <c r="N120" s="3" t="s">
        <v>820</v>
      </c>
      <c r="O120" s="8" t="s">
        <v>27</v>
      </c>
      <c r="P120" s="3" t="s">
        <v>1268</v>
      </c>
    </row>
    <row r="121" customFormat="false" ht="91" hidden="false" customHeight="false" outlineLevel="0" collapsed="false">
      <c r="A121" s="15" t="s">
        <v>65</v>
      </c>
      <c r="B121" s="4" t="s">
        <v>1269</v>
      </c>
      <c r="C121" s="3" t="s">
        <v>233</v>
      </c>
      <c r="D121" s="3" t="s">
        <v>863</v>
      </c>
      <c r="E121" s="3" t="s">
        <v>501</v>
      </c>
      <c r="F121" s="6" t="n">
        <v>452400</v>
      </c>
      <c r="G121" s="6" t="n">
        <v>407160</v>
      </c>
      <c r="H121" s="3" t="s">
        <v>718</v>
      </c>
      <c r="I121" s="4" t="s">
        <v>1270</v>
      </c>
      <c r="J121" s="4" t="s">
        <v>1271</v>
      </c>
      <c r="K121" s="3" t="s">
        <v>232</v>
      </c>
      <c r="L121" s="3" t="s">
        <v>509</v>
      </c>
      <c r="M121" s="3" t="s">
        <v>939</v>
      </c>
      <c r="N121" s="3" t="s">
        <v>940</v>
      </c>
      <c r="O121" s="8" t="s">
        <v>27</v>
      </c>
      <c r="P121" s="3" t="s">
        <v>1272</v>
      </c>
    </row>
    <row r="122" customFormat="false" ht="68.65" hidden="false" customHeight="false" outlineLevel="0" collapsed="false">
      <c r="A122" s="14" t="s">
        <v>17</v>
      </c>
      <c r="B122" s="4" t="s">
        <v>1273</v>
      </c>
      <c r="C122" s="3" t="s">
        <v>1234</v>
      </c>
      <c r="D122" s="3" t="s">
        <v>194</v>
      </c>
      <c r="E122" s="3" t="s">
        <v>584</v>
      </c>
      <c r="F122" s="6" t="n">
        <v>505000</v>
      </c>
      <c r="G122" s="6" t="n">
        <v>391680</v>
      </c>
      <c r="H122" s="3" t="s">
        <v>718</v>
      </c>
      <c r="I122" s="4" t="s">
        <v>1274</v>
      </c>
      <c r="J122" s="4" t="s">
        <v>1275</v>
      </c>
      <c r="K122" s="3"/>
      <c r="L122" s="3"/>
      <c r="M122" s="3"/>
      <c r="N122" s="3"/>
      <c r="O122" s="8" t="s">
        <v>27</v>
      </c>
      <c r="P122" s="3" t="s">
        <v>1276</v>
      </c>
    </row>
    <row r="123" customFormat="false" ht="91" hidden="false" customHeight="false" outlineLevel="0" collapsed="false">
      <c r="A123" s="15" t="s">
        <v>65</v>
      </c>
      <c r="B123" s="4" t="s">
        <v>1277</v>
      </c>
      <c r="C123" s="3" t="s">
        <v>443</v>
      </c>
      <c r="D123" s="3" t="s">
        <v>88</v>
      </c>
      <c r="E123" s="3" t="s">
        <v>501</v>
      </c>
      <c r="F123" s="6" t="n">
        <v>424000</v>
      </c>
      <c r="G123" s="6" t="n">
        <v>381600</v>
      </c>
      <c r="H123" s="3" t="s">
        <v>718</v>
      </c>
      <c r="I123" s="4" t="s">
        <v>1278</v>
      </c>
      <c r="J123" s="4" t="s">
        <v>1279</v>
      </c>
      <c r="K123" s="3" t="s">
        <v>442</v>
      </c>
      <c r="L123" s="3" t="s">
        <v>509</v>
      </c>
      <c r="M123" s="3" t="s">
        <v>582</v>
      </c>
      <c r="N123" s="3" t="s">
        <v>583</v>
      </c>
      <c r="O123" s="8" t="s">
        <v>27</v>
      </c>
      <c r="P123" s="3" t="s">
        <v>1280</v>
      </c>
    </row>
    <row r="124" customFormat="false" ht="91" hidden="false" customHeight="false" outlineLevel="0" collapsed="false">
      <c r="A124" s="15" t="s">
        <v>65</v>
      </c>
      <c r="B124" s="4" t="s">
        <v>1281</v>
      </c>
      <c r="C124" s="3" t="s">
        <v>233</v>
      </c>
      <c r="D124" s="3" t="s">
        <v>863</v>
      </c>
      <c r="E124" s="3" t="s">
        <v>573</v>
      </c>
      <c r="F124" s="6" t="n">
        <v>413200</v>
      </c>
      <c r="G124" s="6" t="n">
        <v>371880</v>
      </c>
      <c r="H124" s="3" t="s">
        <v>718</v>
      </c>
      <c r="I124" s="4" t="s">
        <v>1282</v>
      </c>
      <c r="J124" s="4" t="s">
        <v>1283</v>
      </c>
      <c r="K124" s="3" t="s">
        <v>232</v>
      </c>
      <c r="L124" s="3" t="s">
        <v>509</v>
      </c>
      <c r="M124" s="3" t="s">
        <v>939</v>
      </c>
      <c r="N124" s="3" t="s">
        <v>940</v>
      </c>
      <c r="O124" s="8" t="s">
        <v>27</v>
      </c>
      <c r="P124" s="3" t="s">
        <v>1284</v>
      </c>
    </row>
    <row r="125" customFormat="false" ht="57.45" hidden="false" customHeight="false" outlineLevel="0" collapsed="false">
      <c r="A125" s="15" t="s">
        <v>65</v>
      </c>
      <c r="B125" s="4" t="s">
        <v>344</v>
      </c>
      <c r="C125" s="3" t="s">
        <v>343</v>
      </c>
      <c r="D125" s="3" t="s">
        <v>1285</v>
      </c>
      <c r="E125" s="3" t="s">
        <v>608</v>
      </c>
      <c r="F125" s="6" t="n">
        <v>411300</v>
      </c>
      <c r="G125" s="6" t="n">
        <v>370170</v>
      </c>
      <c r="H125" s="3" t="s">
        <v>718</v>
      </c>
      <c r="I125" s="4" t="s">
        <v>1286</v>
      </c>
      <c r="J125" s="4" t="s">
        <v>1287</v>
      </c>
      <c r="K125" s="3" t="s">
        <v>342</v>
      </c>
      <c r="L125" s="3" t="s">
        <v>509</v>
      </c>
      <c r="M125" s="3"/>
      <c r="N125" s="3" t="s">
        <v>1288</v>
      </c>
      <c r="O125" s="8" t="s">
        <v>27</v>
      </c>
      <c r="P125" s="3" t="s">
        <v>1289</v>
      </c>
    </row>
    <row r="126" customFormat="false" ht="68.65" hidden="false" customHeight="false" outlineLevel="0" collapsed="false">
      <c r="A126" s="15" t="s">
        <v>65</v>
      </c>
      <c r="B126" s="4" t="s">
        <v>1290</v>
      </c>
      <c r="C126" s="3" t="s">
        <v>1291</v>
      </c>
      <c r="D126" s="3" t="s">
        <v>748</v>
      </c>
      <c r="E126" s="3" t="s">
        <v>501</v>
      </c>
      <c r="F126" s="6" t="n">
        <v>397200</v>
      </c>
      <c r="G126" s="6" t="n">
        <v>357480</v>
      </c>
      <c r="H126" s="3" t="s">
        <v>718</v>
      </c>
      <c r="I126" s="4" t="s">
        <v>1292</v>
      </c>
      <c r="J126" s="4" t="s">
        <v>1293</v>
      </c>
      <c r="K126" s="3"/>
      <c r="L126" s="3"/>
      <c r="M126" s="3"/>
      <c r="N126" s="3"/>
      <c r="O126" s="8" t="s">
        <v>27</v>
      </c>
      <c r="P126" s="3" t="s">
        <v>1294</v>
      </c>
    </row>
    <row r="127" customFormat="false" ht="91" hidden="false" customHeight="false" outlineLevel="0" collapsed="false">
      <c r="A127" s="14" t="s">
        <v>17</v>
      </c>
      <c r="B127" s="4" t="s">
        <v>1295</v>
      </c>
      <c r="C127" s="3" t="s">
        <v>194</v>
      </c>
      <c r="D127" s="3" t="s">
        <v>194</v>
      </c>
      <c r="E127" s="3" t="s">
        <v>501</v>
      </c>
      <c r="F127" s="6" t="n">
        <v>5106300</v>
      </c>
      <c r="G127" s="6" t="n">
        <v>350000</v>
      </c>
      <c r="H127" s="3" t="s">
        <v>1168</v>
      </c>
      <c r="I127" s="4" t="s">
        <v>1296</v>
      </c>
      <c r="J127" s="4" t="s">
        <v>1297</v>
      </c>
      <c r="K127" s="3" t="s">
        <v>193</v>
      </c>
      <c r="L127" s="3" t="s">
        <v>509</v>
      </c>
      <c r="M127" s="3" t="s">
        <v>828</v>
      </c>
      <c r="N127" s="3" t="s">
        <v>829</v>
      </c>
      <c r="O127" s="8" t="s">
        <v>27</v>
      </c>
      <c r="P127" s="3" t="s">
        <v>1298</v>
      </c>
    </row>
    <row r="128" customFormat="false" ht="91" hidden="false" customHeight="false" outlineLevel="0" collapsed="false">
      <c r="A128" s="14" t="s">
        <v>17</v>
      </c>
      <c r="B128" s="4" t="s">
        <v>1299</v>
      </c>
      <c r="C128" s="3" t="s">
        <v>194</v>
      </c>
      <c r="D128" s="3" t="s">
        <v>194</v>
      </c>
      <c r="E128" s="3" t="s">
        <v>864</v>
      </c>
      <c r="F128" s="6" t="n">
        <v>629400</v>
      </c>
      <c r="G128" s="6" t="n">
        <v>350000</v>
      </c>
      <c r="H128" s="3" t="s">
        <v>1300</v>
      </c>
      <c r="I128" s="4" t="s">
        <v>1301</v>
      </c>
      <c r="J128" s="4" t="s">
        <v>1302</v>
      </c>
      <c r="K128" s="3" t="s">
        <v>193</v>
      </c>
      <c r="L128" s="3" t="s">
        <v>509</v>
      </c>
      <c r="M128" s="3" t="s">
        <v>828</v>
      </c>
      <c r="N128" s="3" t="s">
        <v>829</v>
      </c>
      <c r="O128" s="8" t="s">
        <v>27</v>
      </c>
      <c r="P128" s="3" t="s">
        <v>1303</v>
      </c>
    </row>
    <row r="129" customFormat="false" ht="68.65" hidden="false" customHeight="false" outlineLevel="0" collapsed="false">
      <c r="A129" s="15" t="s">
        <v>65</v>
      </c>
      <c r="B129" s="4" t="s">
        <v>1304</v>
      </c>
      <c r="C129" s="3" t="s">
        <v>1305</v>
      </c>
      <c r="D129" s="3" t="s">
        <v>807</v>
      </c>
      <c r="E129" s="3" t="s">
        <v>584</v>
      </c>
      <c r="F129" s="6" t="n">
        <v>388900</v>
      </c>
      <c r="G129" s="6" t="n">
        <v>350000</v>
      </c>
      <c r="H129" s="3" t="s">
        <v>1300</v>
      </c>
      <c r="I129" s="4" t="s">
        <v>728</v>
      </c>
      <c r="J129" s="4" t="s">
        <v>1306</v>
      </c>
      <c r="K129" s="3" t="s">
        <v>181</v>
      </c>
      <c r="L129" s="3" t="s">
        <v>515</v>
      </c>
      <c r="M129" s="3"/>
      <c r="N129" s="3" t="s">
        <v>810</v>
      </c>
      <c r="O129" s="8" t="s">
        <v>27</v>
      </c>
      <c r="P129" s="3" t="s">
        <v>1307</v>
      </c>
    </row>
    <row r="130" customFormat="false" ht="35.05" hidden="false" customHeight="false" outlineLevel="0" collapsed="false">
      <c r="A130" s="15" t="s">
        <v>65</v>
      </c>
      <c r="B130" s="4" t="s">
        <v>1308</v>
      </c>
      <c r="C130" s="3" t="s">
        <v>473</v>
      </c>
      <c r="D130" s="3" t="s">
        <v>473</v>
      </c>
      <c r="E130" s="3" t="s">
        <v>608</v>
      </c>
      <c r="F130" s="6" t="n">
        <v>389800</v>
      </c>
      <c r="G130" s="6" t="n">
        <v>350000</v>
      </c>
      <c r="H130" s="3" t="s">
        <v>1309</v>
      </c>
      <c r="I130" s="4" t="s">
        <v>728</v>
      </c>
      <c r="J130" s="4" t="s">
        <v>1310</v>
      </c>
      <c r="K130" s="3" t="s">
        <v>472</v>
      </c>
      <c r="L130" s="3" t="s">
        <v>509</v>
      </c>
      <c r="M130" s="3" t="s">
        <v>632</v>
      </c>
      <c r="N130" s="3" t="s">
        <v>633</v>
      </c>
      <c r="O130" s="8" t="s">
        <v>27</v>
      </c>
      <c r="P130" s="3" t="s">
        <v>1311</v>
      </c>
    </row>
    <row r="131" customFormat="false" ht="57.45" hidden="false" customHeight="false" outlineLevel="0" collapsed="false">
      <c r="A131" s="15" t="s">
        <v>65</v>
      </c>
      <c r="B131" s="4" t="s">
        <v>1312</v>
      </c>
      <c r="C131" s="3" t="s">
        <v>1313</v>
      </c>
      <c r="D131" s="3" t="s">
        <v>717</v>
      </c>
      <c r="E131" s="3" t="s">
        <v>573</v>
      </c>
      <c r="F131" s="6" t="n">
        <v>388900</v>
      </c>
      <c r="G131" s="6" t="n">
        <v>350000</v>
      </c>
      <c r="H131" s="3" t="s">
        <v>1300</v>
      </c>
      <c r="I131" s="4" t="s">
        <v>1314</v>
      </c>
      <c r="J131" s="4" t="s">
        <v>1315</v>
      </c>
      <c r="K131" s="3"/>
      <c r="L131" s="3"/>
      <c r="M131" s="3"/>
      <c r="N131" s="3"/>
      <c r="O131" s="8" t="s">
        <v>27</v>
      </c>
      <c r="P131" s="3" t="s">
        <v>1316</v>
      </c>
    </row>
    <row r="132" customFormat="false" ht="35.05" hidden="false" customHeight="false" outlineLevel="0" collapsed="false">
      <c r="A132" s="15" t="s">
        <v>65</v>
      </c>
      <c r="B132" s="4" t="s">
        <v>347</v>
      </c>
      <c r="C132" s="3" t="s">
        <v>346</v>
      </c>
      <c r="D132" s="3" t="s">
        <v>717</v>
      </c>
      <c r="E132" s="3" t="s">
        <v>501</v>
      </c>
      <c r="F132" s="6" t="n">
        <v>389200</v>
      </c>
      <c r="G132" s="6" t="n">
        <v>350000</v>
      </c>
      <c r="H132" s="3" t="s">
        <v>1300</v>
      </c>
      <c r="I132" s="4" t="s">
        <v>1317</v>
      </c>
      <c r="J132" s="4" t="s">
        <v>1318</v>
      </c>
      <c r="K132" s="3" t="s">
        <v>345</v>
      </c>
      <c r="L132" s="3" t="s">
        <v>509</v>
      </c>
      <c r="M132" s="3"/>
      <c r="N132" s="3" t="s">
        <v>1319</v>
      </c>
      <c r="O132" s="8" t="s">
        <v>27</v>
      </c>
      <c r="P132" s="3" t="s">
        <v>1320</v>
      </c>
    </row>
    <row r="133" customFormat="false" ht="57.45" hidden="false" customHeight="false" outlineLevel="0" collapsed="false">
      <c r="A133" s="15" t="s">
        <v>65</v>
      </c>
      <c r="B133" s="4" t="s">
        <v>350</v>
      </c>
      <c r="C133" s="3" t="s">
        <v>349</v>
      </c>
      <c r="D133" s="3" t="s">
        <v>717</v>
      </c>
      <c r="E133" s="3" t="s">
        <v>501</v>
      </c>
      <c r="F133" s="6" t="n">
        <v>411900</v>
      </c>
      <c r="G133" s="6" t="n">
        <v>350000</v>
      </c>
      <c r="H133" s="3" t="s">
        <v>1168</v>
      </c>
      <c r="I133" s="4" t="s">
        <v>1321</v>
      </c>
      <c r="J133" s="4" t="s">
        <v>1322</v>
      </c>
      <c r="K133" s="3" t="s">
        <v>348</v>
      </c>
      <c r="L133" s="3" t="s">
        <v>509</v>
      </c>
      <c r="M133" s="3"/>
      <c r="N133" s="3" t="s">
        <v>1323</v>
      </c>
      <c r="O133" s="8" t="s">
        <v>27</v>
      </c>
      <c r="P133" s="3" t="s">
        <v>1324</v>
      </c>
    </row>
    <row r="134" customFormat="false" ht="35.05" hidden="false" customHeight="false" outlineLevel="0" collapsed="false">
      <c r="A134" s="15" t="s">
        <v>65</v>
      </c>
      <c r="B134" s="4" t="s">
        <v>1325</v>
      </c>
      <c r="C134" s="3" t="s">
        <v>218</v>
      </c>
      <c r="D134" s="3" t="s">
        <v>717</v>
      </c>
      <c r="E134" s="3" t="s">
        <v>501</v>
      </c>
      <c r="F134" s="6" t="n">
        <v>421500</v>
      </c>
      <c r="G134" s="6" t="n">
        <v>350000</v>
      </c>
      <c r="H134" s="3" t="s">
        <v>1300</v>
      </c>
      <c r="I134" s="4" t="s">
        <v>1326</v>
      </c>
      <c r="J134" s="4" t="s">
        <v>1327</v>
      </c>
      <c r="K134" s="3" t="s">
        <v>217</v>
      </c>
      <c r="L134" s="3" t="s">
        <v>509</v>
      </c>
      <c r="M134" s="3"/>
      <c r="N134" s="3" t="s">
        <v>915</v>
      </c>
      <c r="O134" s="8" t="s">
        <v>27</v>
      </c>
      <c r="P134" s="3" t="s">
        <v>1328</v>
      </c>
    </row>
    <row r="135" customFormat="false" ht="91" hidden="false" customHeight="false" outlineLevel="0" collapsed="false">
      <c r="A135" s="14" t="s">
        <v>17</v>
      </c>
      <c r="B135" s="4" t="s">
        <v>1329</v>
      </c>
      <c r="C135" s="3" t="s">
        <v>1218</v>
      </c>
      <c r="D135" s="3" t="s">
        <v>748</v>
      </c>
      <c r="E135" s="3" t="s">
        <v>864</v>
      </c>
      <c r="F135" s="6" t="n">
        <v>652500</v>
      </c>
      <c r="G135" s="6" t="n">
        <v>350000</v>
      </c>
      <c r="H135" s="3" t="s">
        <v>1300</v>
      </c>
      <c r="I135" s="4" t="s">
        <v>1330</v>
      </c>
      <c r="J135" s="4" t="s">
        <v>1331</v>
      </c>
      <c r="K135" s="3"/>
      <c r="L135" s="3"/>
      <c r="M135" s="3"/>
      <c r="N135" s="3"/>
      <c r="O135" s="8" t="s">
        <v>27</v>
      </c>
      <c r="P135" s="3" t="s">
        <v>1332</v>
      </c>
    </row>
    <row r="136" customFormat="false" ht="102.2" hidden="false" customHeight="false" outlineLevel="0" collapsed="false">
      <c r="A136" s="14" t="s">
        <v>17</v>
      </c>
      <c r="B136" s="4" t="s">
        <v>309</v>
      </c>
      <c r="C136" s="3" t="s">
        <v>308</v>
      </c>
      <c r="D136" s="3" t="s">
        <v>1333</v>
      </c>
      <c r="E136" s="3" t="s">
        <v>864</v>
      </c>
      <c r="F136" s="6" t="n">
        <v>869500</v>
      </c>
      <c r="G136" s="6" t="n">
        <v>350000</v>
      </c>
      <c r="H136" s="3" t="s">
        <v>1300</v>
      </c>
      <c r="I136" s="4" t="s">
        <v>1334</v>
      </c>
      <c r="J136" s="4" t="s">
        <v>1335</v>
      </c>
      <c r="K136" s="3" t="s">
        <v>307</v>
      </c>
      <c r="L136" s="3" t="s">
        <v>509</v>
      </c>
      <c r="M136" s="3" t="s">
        <v>1336</v>
      </c>
      <c r="N136" s="3" t="s">
        <v>1337</v>
      </c>
      <c r="O136" s="8" t="s">
        <v>27</v>
      </c>
      <c r="P136" s="3" t="s">
        <v>1338</v>
      </c>
    </row>
    <row r="137" customFormat="false" ht="35.05" hidden="false" customHeight="false" outlineLevel="0" collapsed="false">
      <c r="A137" s="15" t="s">
        <v>65</v>
      </c>
      <c r="B137" s="4" t="s">
        <v>1312</v>
      </c>
      <c r="C137" s="3" t="s">
        <v>1228</v>
      </c>
      <c r="D137" s="3" t="s">
        <v>1229</v>
      </c>
      <c r="E137" s="3" t="s">
        <v>573</v>
      </c>
      <c r="F137" s="6" t="n">
        <v>388900</v>
      </c>
      <c r="G137" s="6" t="n">
        <v>350000</v>
      </c>
      <c r="H137" s="3" t="s">
        <v>1300</v>
      </c>
      <c r="I137" s="4" t="s">
        <v>1339</v>
      </c>
      <c r="J137" s="4" t="s">
        <v>1340</v>
      </c>
      <c r="K137" s="3"/>
      <c r="L137" s="3"/>
      <c r="M137" s="3"/>
      <c r="N137" s="3"/>
      <c r="O137" s="8" t="s">
        <v>27</v>
      </c>
      <c r="P137" s="3" t="s">
        <v>1341</v>
      </c>
    </row>
    <row r="138" customFormat="false" ht="46.25" hidden="false" customHeight="false" outlineLevel="0" collapsed="false">
      <c r="A138" s="15" t="s">
        <v>65</v>
      </c>
      <c r="B138" s="4" t="s">
        <v>353</v>
      </c>
      <c r="C138" s="3" t="s">
        <v>352</v>
      </c>
      <c r="D138" s="3" t="s">
        <v>352</v>
      </c>
      <c r="E138" s="3" t="s">
        <v>608</v>
      </c>
      <c r="F138" s="6" t="n">
        <v>391800</v>
      </c>
      <c r="G138" s="6" t="n">
        <v>350000</v>
      </c>
      <c r="H138" s="3" t="s">
        <v>1300</v>
      </c>
      <c r="I138" s="4" t="s">
        <v>1342</v>
      </c>
      <c r="J138" s="4" t="s">
        <v>1343</v>
      </c>
      <c r="K138" s="3" t="s">
        <v>351</v>
      </c>
      <c r="L138" s="3" t="s">
        <v>509</v>
      </c>
      <c r="M138" s="3" t="s">
        <v>1344</v>
      </c>
      <c r="N138" s="3" t="s">
        <v>1345</v>
      </c>
      <c r="O138" s="8" t="s">
        <v>27</v>
      </c>
      <c r="P138" s="3" t="s">
        <v>1346</v>
      </c>
    </row>
    <row r="139" customFormat="false" ht="46.25" hidden="false" customHeight="false" outlineLevel="0" collapsed="false">
      <c r="A139" s="14" t="s">
        <v>17</v>
      </c>
      <c r="B139" s="4" t="s">
        <v>1347</v>
      </c>
      <c r="C139" s="3" t="s">
        <v>227</v>
      </c>
      <c r="D139" s="3" t="s">
        <v>227</v>
      </c>
      <c r="E139" s="3" t="s">
        <v>608</v>
      </c>
      <c r="F139" s="6" t="n">
        <v>1499200</v>
      </c>
      <c r="G139" s="6" t="n">
        <v>349934</v>
      </c>
      <c r="H139" s="3" t="s">
        <v>1168</v>
      </c>
      <c r="I139" s="4" t="s">
        <v>1348</v>
      </c>
      <c r="J139" s="4" t="s">
        <v>1349</v>
      </c>
      <c r="K139" s="3" t="s">
        <v>226</v>
      </c>
      <c r="L139" s="3" t="s">
        <v>509</v>
      </c>
      <c r="M139" s="3" t="s">
        <v>929</v>
      </c>
      <c r="N139" s="3" t="s">
        <v>930</v>
      </c>
      <c r="O139" s="8" t="s">
        <v>27</v>
      </c>
      <c r="P139" s="3" t="s">
        <v>1350</v>
      </c>
    </row>
    <row r="140" customFormat="false" ht="68.65" hidden="false" customHeight="false" outlineLevel="0" collapsed="false">
      <c r="A140" s="15" t="s">
        <v>65</v>
      </c>
      <c r="B140" s="4" t="s">
        <v>1351</v>
      </c>
      <c r="C140" s="3" t="s">
        <v>1260</v>
      </c>
      <c r="D140" s="3" t="s">
        <v>1261</v>
      </c>
      <c r="E140" s="3" t="s">
        <v>501</v>
      </c>
      <c r="F140" s="6" t="n">
        <v>388800</v>
      </c>
      <c r="G140" s="6" t="n">
        <v>349920</v>
      </c>
      <c r="H140" s="3" t="s">
        <v>1300</v>
      </c>
      <c r="I140" s="4" t="s">
        <v>1352</v>
      </c>
      <c r="J140" s="4" t="s">
        <v>1353</v>
      </c>
      <c r="K140" s="3"/>
      <c r="L140" s="3"/>
      <c r="M140" s="3"/>
      <c r="N140" s="3"/>
      <c r="O140" s="8" t="s">
        <v>27</v>
      </c>
      <c r="P140" s="3" t="s">
        <v>1354</v>
      </c>
    </row>
    <row r="141" customFormat="false" ht="102.2" hidden="false" customHeight="false" outlineLevel="0" collapsed="false">
      <c r="A141" s="15" t="s">
        <v>65</v>
      </c>
      <c r="B141" s="4" t="s">
        <v>1355</v>
      </c>
      <c r="C141" s="3" t="s">
        <v>1356</v>
      </c>
      <c r="D141" s="3" t="s">
        <v>227</v>
      </c>
      <c r="E141" s="3" t="s">
        <v>573</v>
      </c>
      <c r="F141" s="6" t="n">
        <v>388800</v>
      </c>
      <c r="G141" s="6" t="n">
        <v>349920</v>
      </c>
      <c r="H141" s="3" t="s">
        <v>1300</v>
      </c>
      <c r="I141" s="4" t="s">
        <v>1357</v>
      </c>
      <c r="J141" s="4" t="s">
        <v>1358</v>
      </c>
      <c r="K141" s="3"/>
      <c r="L141" s="3"/>
      <c r="M141" s="3"/>
      <c r="N141" s="3"/>
      <c r="O141" s="8" t="s">
        <v>27</v>
      </c>
      <c r="P141" s="3" t="s">
        <v>1359</v>
      </c>
    </row>
    <row r="142" customFormat="false" ht="57.45" hidden="false" customHeight="false" outlineLevel="0" collapsed="false">
      <c r="A142" s="15" t="s">
        <v>65</v>
      </c>
      <c r="B142" s="4" t="s">
        <v>1360</v>
      </c>
      <c r="C142" s="3" t="s">
        <v>471</v>
      </c>
      <c r="D142" s="3" t="s">
        <v>278</v>
      </c>
      <c r="E142" s="3" t="s">
        <v>864</v>
      </c>
      <c r="F142" s="6" t="n">
        <v>388800</v>
      </c>
      <c r="G142" s="6" t="n">
        <v>349920</v>
      </c>
      <c r="H142" s="3" t="s">
        <v>1300</v>
      </c>
      <c r="I142" s="4" t="s">
        <v>1361</v>
      </c>
      <c r="J142" s="4" t="s">
        <v>1362</v>
      </c>
      <c r="K142" s="3" t="s">
        <v>470</v>
      </c>
      <c r="L142" s="3" t="s">
        <v>509</v>
      </c>
      <c r="M142" s="3" t="s">
        <v>627</v>
      </c>
      <c r="N142" s="3" t="s">
        <v>628</v>
      </c>
      <c r="O142" s="8" t="s">
        <v>27</v>
      </c>
      <c r="P142" s="3" t="s">
        <v>1363</v>
      </c>
    </row>
    <row r="143" customFormat="false" ht="79.85" hidden="false" customHeight="false" outlineLevel="0" collapsed="false">
      <c r="A143" s="15" t="s">
        <v>65</v>
      </c>
      <c r="B143" s="4" t="s">
        <v>1355</v>
      </c>
      <c r="C143" s="3" t="s">
        <v>1364</v>
      </c>
      <c r="D143" s="3" t="s">
        <v>1229</v>
      </c>
      <c r="E143" s="3" t="s">
        <v>573</v>
      </c>
      <c r="F143" s="6" t="n">
        <v>388800</v>
      </c>
      <c r="G143" s="6" t="n">
        <v>349920</v>
      </c>
      <c r="H143" s="3" t="s">
        <v>1300</v>
      </c>
      <c r="I143" s="4" t="s">
        <v>1365</v>
      </c>
      <c r="J143" s="4" t="s">
        <v>1366</v>
      </c>
      <c r="K143" s="3"/>
      <c r="L143" s="3"/>
      <c r="M143" s="3"/>
      <c r="N143" s="3"/>
      <c r="O143" s="8" t="s">
        <v>27</v>
      </c>
      <c r="P143" s="3" t="s">
        <v>1367</v>
      </c>
    </row>
    <row r="144" customFormat="false" ht="46.25" hidden="false" customHeight="false" outlineLevel="0" collapsed="false">
      <c r="A144" s="15" t="s">
        <v>65</v>
      </c>
      <c r="B144" s="4" t="s">
        <v>356</v>
      </c>
      <c r="C144" s="3" t="s">
        <v>355</v>
      </c>
      <c r="D144" s="3" t="s">
        <v>170</v>
      </c>
      <c r="E144" s="3" t="s">
        <v>584</v>
      </c>
      <c r="F144" s="6" t="n">
        <v>388800</v>
      </c>
      <c r="G144" s="6" t="n">
        <v>349920</v>
      </c>
      <c r="H144" s="3" t="s">
        <v>1300</v>
      </c>
      <c r="I144" s="4" t="s">
        <v>1368</v>
      </c>
      <c r="J144" s="4" t="s">
        <v>1369</v>
      </c>
      <c r="K144" s="3" t="s">
        <v>354</v>
      </c>
      <c r="L144" s="3" t="s">
        <v>509</v>
      </c>
      <c r="M144" s="3" t="s">
        <v>1370</v>
      </c>
      <c r="N144" s="3" t="s">
        <v>1371</v>
      </c>
      <c r="O144" s="8" t="s">
        <v>27</v>
      </c>
      <c r="P144" s="3" t="s">
        <v>1372</v>
      </c>
    </row>
    <row r="145" customFormat="false" ht="91" hidden="false" customHeight="false" outlineLevel="0" collapsed="false">
      <c r="A145" s="15" t="s">
        <v>65</v>
      </c>
      <c r="B145" s="4" t="s">
        <v>359</v>
      </c>
      <c r="C145" s="3" t="s">
        <v>358</v>
      </c>
      <c r="D145" s="3" t="s">
        <v>299</v>
      </c>
      <c r="E145" s="3" t="s">
        <v>539</v>
      </c>
      <c r="F145" s="6" t="n">
        <v>388800</v>
      </c>
      <c r="G145" s="6" t="n">
        <v>349920</v>
      </c>
      <c r="H145" s="3" t="s">
        <v>1300</v>
      </c>
      <c r="I145" s="4" t="s">
        <v>1373</v>
      </c>
      <c r="J145" s="4" t="s">
        <v>1374</v>
      </c>
      <c r="K145" s="3" t="s">
        <v>357</v>
      </c>
      <c r="L145" s="3" t="s">
        <v>509</v>
      </c>
      <c r="M145" s="3" t="s">
        <v>1375</v>
      </c>
      <c r="N145" s="3" t="s">
        <v>1376</v>
      </c>
      <c r="O145" s="8" t="s">
        <v>27</v>
      </c>
      <c r="P145" s="3" t="s">
        <v>1377</v>
      </c>
    </row>
    <row r="146" customFormat="false" ht="102.2" hidden="false" customHeight="false" outlineLevel="0" collapsed="false">
      <c r="A146" s="15" t="s">
        <v>65</v>
      </c>
      <c r="B146" s="4" t="s">
        <v>1355</v>
      </c>
      <c r="C146" s="3" t="s">
        <v>858</v>
      </c>
      <c r="D146" s="3" t="s">
        <v>717</v>
      </c>
      <c r="E146" s="3" t="s">
        <v>573</v>
      </c>
      <c r="F146" s="6" t="n">
        <v>388800</v>
      </c>
      <c r="G146" s="6" t="n">
        <v>349920</v>
      </c>
      <c r="H146" s="3" t="s">
        <v>1300</v>
      </c>
      <c r="I146" s="4" t="s">
        <v>1378</v>
      </c>
      <c r="J146" s="4" t="s">
        <v>1379</v>
      </c>
      <c r="K146" s="3"/>
      <c r="L146" s="3"/>
      <c r="M146" s="3"/>
      <c r="N146" s="3"/>
      <c r="O146" s="8" t="s">
        <v>27</v>
      </c>
      <c r="P146" s="3" t="s">
        <v>1380</v>
      </c>
    </row>
    <row r="147" customFormat="false" ht="68.65" hidden="false" customHeight="false" outlineLevel="0" collapsed="false">
      <c r="A147" s="15" t="s">
        <v>65</v>
      </c>
      <c r="B147" s="4" t="s">
        <v>359</v>
      </c>
      <c r="C147" s="3" t="s">
        <v>349</v>
      </c>
      <c r="D147" s="3" t="s">
        <v>717</v>
      </c>
      <c r="E147" s="3" t="s">
        <v>539</v>
      </c>
      <c r="F147" s="6" t="n">
        <v>388800</v>
      </c>
      <c r="G147" s="6" t="n">
        <v>349920</v>
      </c>
      <c r="H147" s="3" t="s">
        <v>1300</v>
      </c>
      <c r="I147" s="4" t="s">
        <v>1381</v>
      </c>
      <c r="J147" s="4" t="s">
        <v>1382</v>
      </c>
      <c r="K147" s="3" t="s">
        <v>348</v>
      </c>
      <c r="L147" s="3" t="s">
        <v>509</v>
      </c>
      <c r="M147" s="3"/>
      <c r="N147" s="3" t="s">
        <v>1323</v>
      </c>
      <c r="O147" s="8" t="s">
        <v>27</v>
      </c>
      <c r="P147" s="3" t="s">
        <v>1383</v>
      </c>
    </row>
    <row r="148" customFormat="false" ht="102.2" hidden="false" customHeight="false" outlineLevel="0" collapsed="false">
      <c r="A148" s="15" t="s">
        <v>65</v>
      </c>
      <c r="B148" s="4" t="s">
        <v>1355</v>
      </c>
      <c r="C148" s="3" t="s">
        <v>1384</v>
      </c>
      <c r="D148" s="3" t="s">
        <v>769</v>
      </c>
      <c r="E148" s="3" t="s">
        <v>573</v>
      </c>
      <c r="F148" s="6" t="n">
        <v>388800</v>
      </c>
      <c r="G148" s="6" t="n">
        <v>349920</v>
      </c>
      <c r="H148" s="3" t="s">
        <v>1300</v>
      </c>
      <c r="I148" s="4" t="s">
        <v>1385</v>
      </c>
      <c r="J148" s="4" t="s">
        <v>1386</v>
      </c>
      <c r="K148" s="3"/>
      <c r="L148" s="3"/>
      <c r="M148" s="3"/>
      <c r="N148" s="3"/>
      <c r="O148" s="8" t="s">
        <v>27</v>
      </c>
      <c r="P148" s="3" t="s">
        <v>1387</v>
      </c>
    </row>
    <row r="149" customFormat="false" ht="91" hidden="false" customHeight="false" outlineLevel="0" collapsed="false">
      <c r="A149" s="15" t="s">
        <v>65</v>
      </c>
      <c r="B149" s="4" t="s">
        <v>1355</v>
      </c>
      <c r="C149" s="3" t="s">
        <v>1388</v>
      </c>
      <c r="D149" s="3" t="s">
        <v>221</v>
      </c>
      <c r="E149" s="3" t="s">
        <v>573</v>
      </c>
      <c r="F149" s="6" t="n">
        <v>388800</v>
      </c>
      <c r="G149" s="6" t="n">
        <v>349920</v>
      </c>
      <c r="H149" s="3" t="s">
        <v>1300</v>
      </c>
      <c r="I149" s="4" t="s">
        <v>1389</v>
      </c>
      <c r="J149" s="4" t="s">
        <v>1390</v>
      </c>
      <c r="K149" s="3"/>
      <c r="L149" s="3"/>
      <c r="M149" s="3"/>
      <c r="N149" s="3"/>
      <c r="O149" s="8" t="s">
        <v>27</v>
      </c>
      <c r="P149" s="3" t="s">
        <v>1391</v>
      </c>
    </row>
    <row r="150" customFormat="false" ht="68.65" hidden="false" customHeight="false" outlineLevel="0" collapsed="false">
      <c r="A150" s="15" t="s">
        <v>65</v>
      </c>
      <c r="B150" s="4" t="s">
        <v>1392</v>
      </c>
      <c r="C150" s="3" t="s">
        <v>477</v>
      </c>
      <c r="D150" s="3" t="s">
        <v>224</v>
      </c>
      <c r="E150" s="3" t="s">
        <v>667</v>
      </c>
      <c r="F150" s="6" t="n">
        <v>388800</v>
      </c>
      <c r="G150" s="6" t="n">
        <v>349920</v>
      </c>
      <c r="H150" s="3" t="s">
        <v>1168</v>
      </c>
      <c r="I150" s="4" t="s">
        <v>1393</v>
      </c>
      <c r="J150" s="4" t="s">
        <v>1394</v>
      </c>
      <c r="K150" s="3" t="s">
        <v>476</v>
      </c>
      <c r="L150" s="3" t="s">
        <v>509</v>
      </c>
      <c r="M150" s="3" t="s">
        <v>647</v>
      </c>
      <c r="N150" s="3" t="s">
        <v>648</v>
      </c>
      <c r="O150" s="8" t="s">
        <v>27</v>
      </c>
      <c r="P150" s="3" t="s">
        <v>1395</v>
      </c>
    </row>
    <row r="151" customFormat="false" ht="35.05" hidden="false" customHeight="false" outlineLevel="0" collapsed="false">
      <c r="A151" s="15" t="s">
        <v>65</v>
      </c>
      <c r="B151" s="4" t="s">
        <v>1396</v>
      </c>
      <c r="C151" s="3" t="s">
        <v>1397</v>
      </c>
      <c r="D151" s="3" t="s">
        <v>221</v>
      </c>
      <c r="E151" s="3" t="s">
        <v>864</v>
      </c>
      <c r="F151" s="6" t="n">
        <v>388700</v>
      </c>
      <c r="G151" s="6" t="n">
        <v>349830</v>
      </c>
      <c r="H151" s="3" t="s">
        <v>1300</v>
      </c>
      <c r="I151" s="4" t="s">
        <v>1398</v>
      </c>
      <c r="J151" s="4" t="s">
        <v>1399</v>
      </c>
      <c r="K151" s="3"/>
      <c r="L151" s="3"/>
      <c r="M151" s="3"/>
      <c r="N151" s="3"/>
      <c r="O151" s="8" t="s">
        <v>27</v>
      </c>
      <c r="P151" s="3" t="s">
        <v>1400</v>
      </c>
    </row>
    <row r="152" customFormat="false" ht="68.65" hidden="false" customHeight="false" outlineLevel="0" collapsed="false">
      <c r="A152" s="14" t="s">
        <v>17</v>
      </c>
      <c r="B152" s="4" t="s">
        <v>1401</v>
      </c>
      <c r="C152" s="3" t="s">
        <v>324</v>
      </c>
      <c r="D152" s="3" t="s">
        <v>863</v>
      </c>
      <c r="E152" s="3" t="s">
        <v>584</v>
      </c>
      <c r="F152" s="6" t="n">
        <v>579100</v>
      </c>
      <c r="G152" s="6" t="n">
        <v>349776</v>
      </c>
      <c r="H152" s="3" t="s">
        <v>1300</v>
      </c>
      <c r="I152" s="4" t="s">
        <v>1402</v>
      </c>
      <c r="J152" s="4" t="s">
        <v>1403</v>
      </c>
      <c r="K152" s="3" t="s">
        <v>323</v>
      </c>
      <c r="L152" s="3" t="s">
        <v>515</v>
      </c>
      <c r="M152" s="3" t="s">
        <v>516</v>
      </c>
      <c r="N152" s="3" t="s">
        <v>517</v>
      </c>
      <c r="O152" s="8" t="s">
        <v>27</v>
      </c>
      <c r="P152" s="3" t="s">
        <v>1404</v>
      </c>
    </row>
    <row r="153" customFormat="false" ht="57.45" hidden="false" customHeight="false" outlineLevel="0" collapsed="false">
      <c r="A153" s="15" t="s">
        <v>65</v>
      </c>
      <c r="B153" s="4" t="s">
        <v>1405</v>
      </c>
      <c r="C153" s="3" t="s">
        <v>612</v>
      </c>
      <c r="D153" s="3" t="s">
        <v>224</v>
      </c>
      <c r="E153" s="3" t="s">
        <v>584</v>
      </c>
      <c r="F153" s="6" t="n">
        <v>388600</v>
      </c>
      <c r="G153" s="6" t="n">
        <v>349740</v>
      </c>
      <c r="H153" s="3" t="s">
        <v>1300</v>
      </c>
      <c r="I153" s="4" t="s">
        <v>1406</v>
      </c>
      <c r="J153" s="4" t="s">
        <v>1369</v>
      </c>
      <c r="K153" s="3"/>
      <c r="L153" s="3"/>
      <c r="M153" s="3"/>
      <c r="N153" s="3"/>
      <c r="O153" s="8" t="s">
        <v>27</v>
      </c>
      <c r="P153" s="3" t="s">
        <v>1407</v>
      </c>
    </row>
    <row r="154" customFormat="false" ht="68.65" hidden="false" customHeight="false" outlineLevel="0" collapsed="false">
      <c r="A154" s="15" t="s">
        <v>65</v>
      </c>
      <c r="B154" s="4" t="s">
        <v>362</v>
      </c>
      <c r="C154" s="3" t="s">
        <v>361</v>
      </c>
      <c r="D154" s="3" t="s">
        <v>330</v>
      </c>
      <c r="E154" s="3" t="s">
        <v>641</v>
      </c>
      <c r="F154" s="6" t="n">
        <v>397200</v>
      </c>
      <c r="G154" s="6" t="n">
        <v>349677</v>
      </c>
      <c r="H154" s="3" t="s">
        <v>1300</v>
      </c>
      <c r="I154" s="4" t="s">
        <v>1408</v>
      </c>
      <c r="J154" s="4" t="s">
        <v>1409</v>
      </c>
      <c r="K154" s="3" t="s">
        <v>360</v>
      </c>
      <c r="L154" s="3" t="s">
        <v>509</v>
      </c>
      <c r="M154" s="3" t="s">
        <v>1410</v>
      </c>
      <c r="N154" s="3" t="s">
        <v>1411</v>
      </c>
      <c r="O154" s="8" t="s">
        <v>27</v>
      </c>
      <c r="P154" s="3" t="s">
        <v>1412</v>
      </c>
    </row>
    <row r="155" customFormat="false" ht="68.65" hidden="false" customHeight="false" outlineLevel="0" collapsed="false">
      <c r="A155" s="15" t="s">
        <v>65</v>
      </c>
      <c r="B155" s="4" t="s">
        <v>1413</v>
      </c>
      <c r="C155" s="3" t="s">
        <v>170</v>
      </c>
      <c r="D155" s="3" t="s">
        <v>170</v>
      </c>
      <c r="E155" s="3" t="s">
        <v>864</v>
      </c>
      <c r="F155" s="6" t="n">
        <v>388500</v>
      </c>
      <c r="G155" s="6" t="n">
        <v>349650</v>
      </c>
      <c r="H155" s="3" t="s">
        <v>1300</v>
      </c>
      <c r="I155" s="4" t="s">
        <v>1414</v>
      </c>
      <c r="J155" s="4" t="s">
        <v>1415</v>
      </c>
      <c r="K155" s="3" t="s">
        <v>169</v>
      </c>
      <c r="L155" s="3" t="s">
        <v>509</v>
      </c>
      <c r="M155" s="3" t="s">
        <v>759</v>
      </c>
      <c r="N155" s="3" t="s">
        <v>760</v>
      </c>
      <c r="O155" s="8" t="s">
        <v>27</v>
      </c>
      <c r="P155" s="3" t="s">
        <v>1416</v>
      </c>
    </row>
    <row r="156" customFormat="false" ht="113.4" hidden="false" customHeight="false" outlineLevel="0" collapsed="false">
      <c r="A156" s="14" t="s">
        <v>17</v>
      </c>
      <c r="B156" s="4" t="s">
        <v>312</v>
      </c>
      <c r="C156" s="3" t="s">
        <v>311</v>
      </c>
      <c r="D156" s="3" t="s">
        <v>1417</v>
      </c>
      <c r="E156" s="3" t="s">
        <v>667</v>
      </c>
      <c r="F156" s="6" t="n">
        <v>514100</v>
      </c>
      <c r="G156" s="6" t="n">
        <v>349588</v>
      </c>
      <c r="H156" s="3" t="s">
        <v>1300</v>
      </c>
      <c r="I156" s="4" t="s">
        <v>1418</v>
      </c>
      <c r="J156" s="4" t="s">
        <v>1419</v>
      </c>
      <c r="K156" s="3" t="s">
        <v>310</v>
      </c>
      <c r="L156" s="3" t="s">
        <v>509</v>
      </c>
      <c r="M156" s="3" t="s">
        <v>1420</v>
      </c>
      <c r="N156" s="3" t="s">
        <v>1421</v>
      </c>
      <c r="O156" s="8" t="s">
        <v>27</v>
      </c>
      <c r="P156" s="3" t="s">
        <v>1422</v>
      </c>
    </row>
    <row r="157" customFormat="false" ht="91" hidden="false" customHeight="false" outlineLevel="0" collapsed="false">
      <c r="A157" s="15" t="s">
        <v>65</v>
      </c>
      <c r="B157" s="4" t="s">
        <v>365</v>
      </c>
      <c r="C157" s="3" t="s">
        <v>364</v>
      </c>
      <c r="D157" s="3" t="s">
        <v>942</v>
      </c>
      <c r="E157" s="3" t="s">
        <v>573</v>
      </c>
      <c r="F157" s="6" t="n">
        <v>388400</v>
      </c>
      <c r="G157" s="6" t="n">
        <v>349560</v>
      </c>
      <c r="H157" s="3" t="s">
        <v>1300</v>
      </c>
      <c r="I157" s="4" t="s">
        <v>1423</v>
      </c>
      <c r="J157" s="4" t="s">
        <v>1424</v>
      </c>
      <c r="K157" s="3" t="s">
        <v>363</v>
      </c>
      <c r="L157" s="3" t="s">
        <v>509</v>
      </c>
      <c r="M157" s="3" t="s">
        <v>1425</v>
      </c>
      <c r="N157" s="3" t="s">
        <v>1426</v>
      </c>
      <c r="O157" s="8" t="s">
        <v>27</v>
      </c>
      <c r="P157" s="3" t="s">
        <v>1427</v>
      </c>
    </row>
    <row r="158" customFormat="false" ht="68.65" hidden="false" customHeight="false" outlineLevel="0" collapsed="false">
      <c r="A158" s="15" t="s">
        <v>65</v>
      </c>
      <c r="B158" s="4" t="s">
        <v>368</v>
      </c>
      <c r="C158" s="3" t="s">
        <v>367</v>
      </c>
      <c r="D158" s="3" t="s">
        <v>227</v>
      </c>
      <c r="E158" s="3" t="s">
        <v>501</v>
      </c>
      <c r="F158" s="6" t="n">
        <v>388400</v>
      </c>
      <c r="G158" s="6" t="n">
        <v>349560</v>
      </c>
      <c r="H158" s="3" t="s">
        <v>1300</v>
      </c>
      <c r="I158" s="4" t="s">
        <v>1428</v>
      </c>
      <c r="J158" s="4" t="s">
        <v>1429</v>
      </c>
      <c r="K158" s="3" t="s">
        <v>366</v>
      </c>
      <c r="L158" s="3" t="s">
        <v>509</v>
      </c>
      <c r="M158" s="3"/>
      <c r="N158" s="3" t="s">
        <v>1430</v>
      </c>
      <c r="O158" s="8" t="s">
        <v>27</v>
      </c>
      <c r="P158" s="3" t="s">
        <v>1431</v>
      </c>
    </row>
    <row r="159" customFormat="false" ht="35.05" hidden="false" customHeight="false" outlineLevel="0" collapsed="false">
      <c r="A159" s="15" t="s">
        <v>65</v>
      </c>
      <c r="B159" s="4" t="s">
        <v>371</v>
      </c>
      <c r="C159" s="3" t="s">
        <v>370</v>
      </c>
      <c r="D159" s="3" t="s">
        <v>748</v>
      </c>
      <c r="E159" s="3" t="s">
        <v>608</v>
      </c>
      <c r="F159" s="6" t="n">
        <v>395300</v>
      </c>
      <c r="G159" s="6" t="n">
        <v>349470</v>
      </c>
      <c r="H159" s="3" t="s">
        <v>1168</v>
      </c>
      <c r="I159" s="4" t="s">
        <v>1432</v>
      </c>
      <c r="J159" s="4" t="s">
        <v>1433</v>
      </c>
      <c r="K159" s="3" t="s">
        <v>369</v>
      </c>
      <c r="L159" s="3" t="s">
        <v>509</v>
      </c>
      <c r="M159" s="3" t="s">
        <v>1176</v>
      </c>
      <c r="N159" s="3" t="s">
        <v>1434</v>
      </c>
      <c r="O159" s="8" t="s">
        <v>27</v>
      </c>
      <c r="P159" s="3" t="s">
        <v>1435</v>
      </c>
    </row>
    <row r="160" customFormat="false" ht="79.85" hidden="false" customHeight="false" outlineLevel="0" collapsed="false">
      <c r="A160" s="15" t="s">
        <v>65</v>
      </c>
      <c r="B160" s="4" t="s">
        <v>1436</v>
      </c>
      <c r="C160" s="3" t="s">
        <v>278</v>
      </c>
      <c r="D160" s="3" t="s">
        <v>278</v>
      </c>
      <c r="E160" s="3" t="s">
        <v>864</v>
      </c>
      <c r="F160" s="6" t="n">
        <v>388000</v>
      </c>
      <c r="G160" s="6" t="n">
        <v>349200</v>
      </c>
      <c r="H160" s="3" t="s">
        <v>1300</v>
      </c>
      <c r="I160" s="4" t="s">
        <v>1437</v>
      </c>
      <c r="J160" s="4" t="s">
        <v>1438</v>
      </c>
      <c r="K160" s="3" t="s">
        <v>277</v>
      </c>
      <c r="L160" s="3" t="s">
        <v>515</v>
      </c>
      <c r="M160" s="3" t="s">
        <v>1128</v>
      </c>
      <c r="N160" s="3" t="s">
        <v>1129</v>
      </c>
      <c r="O160" s="8" t="s">
        <v>27</v>
      </c>
      <c r="P160" s="3" t="s">
        <v>1439</v>
      </c>
    </row>
    <row r="161" customFormat="false" ht="68.65" hidden="false" customHeight="false" outlineLevel="0" collapsed="false">
      <c r="A161" s="15" t="s">
        <v>65</v>
      </c>
      <c r="B161" s="4" t="s">
        <v>1440</v>
      </c>
      <c r="C161" s="3" t="s">
        <v>151</v>
      </c>
      <c r="D161" s="3" t="s">
        <v>717</v>
      </c>
      <c r="E161" s="3" t="s">
        <v>608</v>
      </c>
      <c r="F161" s="6" t="n">
        <v>388000</v>
      </c>
      <c r="G161" s="6" t="n">
        <v>349200</v>
      </c>
      <c r="H161" s="3" t="s">
        <v>1300</v>
      </c>
      <c r="I161" s="4" t="s">
        <v>1441</v>
      </c>
      <c r="J161" s="4" t="s">
        <v>1442</v>
      </c>
      <c r="K161" s="3" t="s">
        <v>150</v>
      </c>
      <c r="L161" s="3" t="s">
        <v>509</v>
      </c>
      <c r="M161" s="3"/>
      <c r="N161" s="3" t="s">
        <v>726</v>
      </c>
      <c r="O161" s="8" t="s">
        <v>27</v>
      </c>
      <c r="P161" s="3" t="s">
        <v>1443</v>
      </c>
    </row>
    <row r="162" customFormat="false" ht="46.25" hidden="false" customHeight="false" outlineLevel="0" collapsed="false">
      <c r="A162" s="15" t="s">
        <v>65</v>
      </c>
      <c r="B162" s="4" t="s">
        <v>374</v>
      </c>
      <c r="C162" s="3" t="s">
        <v>373</v>
      </c>
      <c r="D162" s="3" t="s">
        <v>837</v>
      </c>
      <c r="E162" s="3" t="s">
        <v>1444</v>
      </c>
      <c r="F162" s="6" t="n">
        <v>387900</v>
      </c>
      <c r="G162" s="6" t="n">
        <v>349110</v>
      </c>
      <c r="H162" s="3" t="s">
        <v>1300</v>
      </c>
      <c r="I162" s="4" t="s">
        <v>1445</v>
      </c>
      <c r="J162" s="4" t="s">
        <v>1446</v>
      </c>
      <c r="K162" s="3" t="s">
        <v>372</v>
      </c>
      <c r="L162" s="3" t="s">
        <v>509</v>
      </c>
      <c r="M162" s="3" t="s">
        <v>1447</v>
      </c>
      <c r="N162" s="3" t="s">
        <v>1448</v>
      </c>
      <c r="O162" s="8" t="s">
        <v>27</v>
      </c>
      <c r="P162" s="3" t="s">
        <v>1449</v>
      </c>
    </row>
    <row r="163" customFormat="false" ht="46.25" hidden="false" customHeight="false" outlineLevel="0" collapsed="false">
      <c r="A163" s="15" t="s">
        <v>65</v>
      </c>
      <c r="B163" s="4" t="s">
        <v>1450</v>
      </c>
      <c r="C163" s="3" t="s">
        <v>236</v>
      </c>
      <c r="D163" s="3" t="s">
        <v>942</v>
      </c>
      <c r="E163" s="3" t="s">
        <v>584</v>
      </c>
      <c r="F163" s="6" t="n">
        <v>387800</v>
      </c>
      <c r="G163" s="6" t="n">
        <v>349020</v>
      </c>
      <c r="H163" s="3" t="s">
        <v>1300</v>
      </c>
      <c r="I163" s="4" t="s">
        <v>1451</v>
      </c>
      <c r="J163" s="4" t="s">
        <v>1452</v>
      </c>
      <c r="K163" s="3" t="s">
        <v>235</v>
      </c>
      <c r="L163" s="3" t="s">
        <v>515</v>
      </c>
      <c r="M163" s="3" t="s">
        <v>945</v>
      </c>
      <c r="N163" s="3" t="s">
        <v>946</v>
      </c>
      <c r="O163" s="8" t="s">
        <v>27</v>
      </c>
      <c r="P163" s="3" t="s">
        <v>1453</v>
      </c>
    </row>
    <row r="164" customFormat="false" ht="46.25" hidden="false" customHeight="false" outlineLevel="0" collapsed="false">
      <c r="A164" s="14" t="s">
        <v>17</v>
      </c>
      <c r="B164" s="4" t="s">
        <v>315</v>
      </c>
      <c r="C164" s="3" t="s">
        <v>314</v>
      </c>
      <c r="D164" s="3" t="s">
        <v>769</v>
      </c>
      <c r="E164" s="3" t="s">
        <v>608</v>
      </c>
      <c r="F164" s="6" t="n">
        <v>622000</v>
      </c>
      <c r="G164" s="6" t="n">
        <v>348920</v>
      </c>
      <c r="H164" s="3" t="s">
        <v>1309</v>
      </c>
      <c r="I164" s="4" t="s">
        <v>1454</v>
      </c>
      <c r="J164" s="4" t="s">
        <v>1455</v>
      </c>
      <c r="K164" s="3" t="s">
        <v>313</v>
      </c>
      <c r="L164" s="3" t="s">
        <v>509</v>
      </c>
      <c r="M164" s="3" t="s">
        <v>1456</v>
      </c>
      <c r="N164" s="3" t="s">
        <v>1457</v>
      </c>
      <c r="O164" s="8" t="s">
        <v>27</v>
      </c>
      <c r="P164" s="3" t="s">
        <v>1458</v>
      </c>
    </row>
    <row r="165" customFormat="false" ht="68.65" hidden="false" customHeight="false" outlineLevel="0" collapsed="false">
      <c r="A165" s="15" t="s">
        <v>65</v>
      </c>
      <c r="B165" s="4" t="s">
        <v>1459</v>
      </c>
      <c r="C165" s="3" t="s">
        <v>1218</v>
      </c>
      <c r="D165" s="3" t="s">
        <v>748</v>
      </c>
      <c r="E165" s="3" t="s">
        <v>608</v>
      </c>
      <c r="F165" s="6" t="n">
        <v>486800</v>
      </c>
      <c r="G165" s="6" t="n">
        <v>348816</v>
      </c>
      <c r="H165" s="3" t="s">
        <v>1168</v>
      </c>
      <c r="I165" s="4" t="s">
        <v>1460</v>
      </c>
      <c r="J165" s="4" t="s">
        <v>1461</v>
      </c>
      <c r="K165" s="3"/>
      <c r="L165" s="3"/>
      <c r="M165" s="3"/>
      <c r="N165" s="3"/>
      <c r="O165" s="8" t="s">
        <v>27</v>
      </c>
      <c r="P165" s="3" t="s">
        <v>1462</v>
      </c>
    </row>
    <row r="166" customFormat="false" ht="35.05" hidden="false" customHeight="false" outlineLevel="0" collapsed="false">
      <c r="A166" s="15" t="s">
        <v>65</v>
      </c>
      <c r="B166" s="4" t="s">
        <v>1463</v>
      </c>
      <c r="C166" s="3" t="s">
        <v>1397</v>
      </c>
      <c r="D166" s="3" t="s">
        <v>221</v>
      </c>
      <c r="E166" s="3" t="s">
        <v>608</v>
      </c>
      <c r="F166" s="6" t="n">
        <v>386400</v>
      </c>
      <c r="G166" s="6" t="n">
        <v>347760</v>
      </c>
      <c r="H166" s="3" t="s">
        <v>1309</v>
      </c>
      <c r="I166" s="4" t="s">
        <v>1464</v>
      </c>
      <c r="J166" s="4" t="s">
        <v>1465</v>
      </c>
      <c r="K166" s="3"/>
      <c r="L166" s="3"/>
      <c r="M166" s="3"/>
      <c r="N166" s="3"/>
      <c r="O166" s="8" t="s">
        <v>27</v>
      </c>
      <c r="P166" s="3" t="s">
        <v>1466</v>
      </c>
    </row>
    <row r="167" customFormat="false" ht="46.25" hidden="false" customHeight="false" outlineLevel="0" collapsed="false">
      <c r="A167" s="15" t="s">
        <v>65</v>
      </c>
      <c r="B167" s="4" t="s">
        <v>1467</v>
      </c>
      <c r="C167" s="3" t="s">
        <v>299</v>
      </c>
      <c r="D167" s="3" t="s">
        <v>299</v>
      </c>
      <c r="E167" s="3" t="s">
        <v>864</v>
      </c>
      <c r="F167" s="6" t="n">
        <v>386000</v>
      </c>
      <c r="G167" s="6" t="n">
        <v>347400</v>
      </c>
      <c r="H167" s="3" t="s">
        <v>1300</v>
      </c>
      <c r="I167" s="4" t="s">
        <v>1468</v>
      </c>
      <c r="J167" s="4" t="s">
        <v>1469</v>
      </c>
      <c r="K167" s="3" t="s">
        <v>298</v>
      </c>
      <c r="L167" s="3" t="s">
        <v>509</v>
      </c>
      <c r="M167" s="3" t="s">
        <v>1224</v>
      </c>
      <c r="N167" s="3" t="s">
        <v>1225</v>
      </c>
      <c r="O167" s="8" t="s">
        <v>27</v>
      </c>
      <c r="P167" s="3" t="s">
        <v>1470</v>
      </c>
    </row>
    <row r="168" customFormat="false" ht="46.25" hidden="false" customHeight="false" outlineLevel="0" collapsed="false">
      <c r="A168" s="15" t="s">
        <v>65</v>
      </c>
      <c r="B168" s="4" t="s">
        <v>1471</v>
      </c>
      <c r="C168" s="3" t="s">
        <v>1014</v>
      </c>
      <c r="D168" s="3" t="s">
        <v>769</v>
      </c>
      <c r="E168" s="3" t="s">
        <v>608</v>
      </c>
      <c r="F168" s="6" t="n">
        <v>385800</v>
      </c>
      <c r="G168" s="6" t="n">
        <v>347220</v>
      </c>
      <c r="H168" s="3" t="s">
        <v>1309</v>
      </c>
      <c r="I168" s="4" t="s">
        <v>1472</v>
      </c>
      <c r="J168" s="4" t="s">
        <v>1473</v>
      </c>
      <c r="K168" s="3"/>
      <c r="L168" s="3"/>
      <c r="M168" s="3"/>
      <c r="N168" s="3"/>
      <c r="O168" s="8" t="s">
        <v>27</v>
      </c>
      <c r="P168" s="3" t="s">
        <v>1474</v>
      </c>
    </row>
    <row r="169" customFormat="false" ht="79.85" hidden="false" customHeight="false" outlineLevel="0" collapsed="false">
      <c r="A169" s="15" t="s">
        <v>65</v>
      </c>
      <c r="B169" s="4" t="s">
        <v>377</v>
      </c>
      <c r="C169" s="3" t="s">
        <v>376</v>
      </c>
      <c r="D169" s="3" t="s">
        <v>73</v>
      </c>
      <c r="E169" s="3" t="s">
        <v>1444</v>
      </c>
      <c r="F169" s="6" t="n">
        <v>385600</v>
      </c>
      <c r="G169" s="6" t="n">
        <v>347040</v>
      </c>
      <c r="H169" s="3" t="s">
        <v>1300</v>
      </c>
      <c r="I169" s="4" t="s">
        <v>1475</v>
      </c>
      <c r="J169" s="4" t="s">
        <v>1476</v>
      </c>
      <c r="K169" s="3" t="s">
        <v>375</v>
      </c>
      <c r="L169" s="3" t="s">
        <v>509</v>
      </c>
      <c r="M169" s="3" t="s">
        <v>1477</v>
      </c>
      <c r="N169" s="3" t="s">
        <v>1478</v>
      </c>
      <c r="O169" s="8" t="s">
        <v>27</v>
      </c>
      <c r="P169" s="3" t="s">
        <v>1479</v>
      </c>
    </row>
    <row r="170" customFormat="false" ht="91" hidden="false" customHeight="false" outlineLevel="0" collapsed="false">
      <c r="A170" s="15" t="s">
        <v>65</v>
      </c>
      <c r="B170" s="4" t="s">
        <v>1480</v>
      </c>
      <c r="C170" s="3" t="s">
        <v>266</v>
      </c>
      <c r="D170" s="3" t="s">
        <v>73</v>
      </c>
      <c r="E170" s="3" t="s">
        <v>573</v>
      </c>
      <c r="F170" s="6" t="n">
        <v>433500</v>
      </c>
      <c r="G170" s="6" t="n">
        <v>346800</v>
      </c>
      <c r="H170" s="3" t="s">
        <v>1300</v>
      </c>
      <c r="I170" s="4" t="s">
        <v>1481</v>
      </c>
      <c r="J170" s="4" t="s">
        <v>1482</v>
      </c>
      <c r="K170" s="3" t="s">
        <v>265</v>
      </c>
      <c r="L170" s="3" t="s">
        <v>509</v>
      </c>
      <c r="M170" s="3" t="s">
        <v>1076</v>
      </c>
      <c r="N170" s="3" t="s">
        <v>1077</v>
      </c>
      <c r="O170" s="8" t="s">
        <v>27</v>
      </c>
      <c r="P170" s="3" t="s">
        <v>1483</v>
      </c>
    </row>
    <row r="171" customFormat="false" ht="57.45" hidden="false" customHeight="false" outlineLevel="0" collapsed="false">
      <c r="A171" s="15" t="s">
        <v>65</v>
      </c>
      <c r="B171" s="4" t="s">
        <v>1484</v>
      </c>
      <c r="C171" s="3" t="s">
        <v>278</v>
      </c>
      <c r="D171" s="3" t="s">
        <v>278</v>
      </c>
      <c r="E171" s="3" t="s">
        <v>608</v>
      </c>
      <c r="F171" s="6" t="n">
        <v>385000</v>
      </c>
      <c r="G171" s="6" t="n">
        <v>346500</v>
      </c>
      <c r="H171" s="3" t="s">
        <v>1309</v>
      </c>
      <c r="I171" s="4" t="s">
        <v>1485</v>
      </c>
      <c r="J171" s="4" t="s">
        <v>1455</v>
      </c>
      <c r="K171" s="3" t="s">
        <v>277</v>
      </c>
      <c r="L171" s="3" t="s">
        <v>515</v>
      </c>
      <c r="M171" s="3" t="s">
        <v>1128</v>
      </c>
      <c r="N171" s="3" t="s">
        <v>1129</v>
      </c>
      <c r="O171" s="8" t="s">
        <v>27</v>
      </c>
      <c r="P171" s="3" t="s">
        <v>1486</v>
      </c>
    </row>
    <row r="172" customFormat="false" ht="102.2" hidden="false" customHeight="false" outlineLevel="0" collapsed="false">
      <c r="A172" s="14" t="s">
        <v>17</v>
      </c>
      <c r="B172" s="4" t="s">
        <v>1487</v>
      </c>
      <c r="C172" s="3" t="s">
        <v>314</v>
      </c>
      <c r="D172" s="3" t="s">
        <v>769</v>
      </c>
      <c r="E172" s="3" t="s">
        <v>573</v>
      </c>
      <c r="F172" s="6" t="n">
        <v>590000</v>
      </c>
      <c r="G172" s="6" t="n">
        <v>346500</v>
      </c>
      <c r="H172" s="3" t="s">
        <v>1300</v>
      </c>
      <c r="I172" s="4" t="s">
        <v>1488</v>
      </c>
      <c r="J172" s="4" t="s">
        <v>1489</v>
      </c>
      <c r="K172" s="3" t="s">
        <v>313</v>
      </c>
      <c r="L172" s="3" t="s">
        <v>509</v>
      </c>
      <c r="M172" s="3" t="s">
        <v>1456</v>
      </c>
      <c r="N172" s="3" t="s">
        <v>1457</v>
      </c>
      <c r="O172" s="8" t="s">
        <v>27</v>
      </c>
      <c r="P172" s="3" t="s">
        <v>1490</v>
      </c>
    </row>
    <row r="173" customFormat="false" ht="57.45" hidden="false" customHeight="false" outlineLevel="0" collapsed="false">
      <c r="A173" s="14" t="s">
        <v>17</v>
      </c>
      <c r="B173" s="4" t="s">
        <v>1491</v>
      </c>
      <c r="C173" s="3" t="s">
        <v>1492</v>
      </c>
      <c r="D173" s="3" t="s">
        <v>224</v>
      </c>
      <c r="E173" s="3" t="s">
        <v>608</v>
      </c>
      <c r="F173" s="6" t="n">
        <v>950000</v>
      </c>
      <c r="G173" s="6" t="n">
        <v>346500</v>
      </c>
      <c r="H173" s="3" t="s">
        <v>1168</v>
      </c>
      <c r="I173" s="4" t="s">
        <v>1493</v>
      </c>
      <c r="J173" s="4" t="s">
        <v>1494</v>
      </c>
      <c r="K173" s="3"/>
      <c r="L173" s="3"/>
      <c r="M173" s="3"/>
      <c r="N173" s="3"/>
      <c r="O173" s="8" t="s">
        <v>27</v>
      </c>
      <c r="P173" s="3" t="s">
        <v>1495</v>
      </c>
    </row>
    <row r="174" customFormat="false" ht="91" hidden="false" customHeight="false" outlineLevel="0" collapsed="false">
      <c r="A174" s="14" t="s">
        <v>17</v>
      </c>
      <c r="B174" s="4" t="s">
        <v>1496</v>
      </c>
      <c r="C174" s="3" t="s">
        <v>324</v>
      </c>
      <c r="D174" s="3" t="s">
        <v>863</v>
      </c>
      <c r="E174" s="3" t="s">
        <v>667</v>
      </c>
      <c r="F174" s="6" t="n">
        <v>504000</v>
      </c>
      <c r="G174" s="6" t="n">
        <v>346193</v>
      </c>
      <c r="H174" s="3" t="s">
        <v>1168</v>
      </c>
      <c r="I174" s="4" t="s">
        <v>1497</v>
      </c>
      <c r="J174" s="4" t="s">
        <v>1498</v>
      </c>
      <c r="K174" s="3" t="s">
        <v>323</v>
      </c>
      <c r="L174" s="3" t="s">
        <v>515</v>
      </c>
      <c r="M174" s="3" t="s">
        <v>516</v>
      </c>
      <c r="N174" s="3" t="s">
        <v>517</v>
      </c>
      <c r="O174" s="8" t="s">
        <v>27</v>
      </c>
      <c r="P174" s="3" t="s">
        <v>1499</v>
      </c>
    </row>
    <row r="175" customFormat="false" ht="35.05" hidden="false" customHeight="false" outlineLevel="0" collapsed="false">
      <c r="A175" s="15" t="s">
        <v>65</v>
      </c>
      <c r="B175" s="4" t="s">
        <v>380</v>
      </c>
      <c r="C175" s="3" t="s">
        <v>379</v>
      </c>
      <c r="D175" s="3" t="s">
        <v>769</v>
      </c>
      <c r="E175" s="3" t="s">
        <v>608</v>
      </c>
      <c r="F175" s="6" t="n">
        <v>382800</v>
      </c>
      <c r="G175" s="6" t="n">
        <v>344520</v>
      </c>
      <c r="H175" s="3" t="s">
        <v>1300</v>
      </c>
      <c r="I175" s="4" t="s">
        <v>1500</v>
      </c>
      <c r="J175" s="4" t="s">
        <v>1501</v>
      </c>
      <c r="K175" s="3" t="s">
        <v>378</v>
      </c>
      <c r="L175" s="3" t="s">
        <v>509</v>
      </c>
      <c r="M175" s="3" t="s">
        <v>1502</v>
      </c>
      <c r="N175" s="3" t="s">
        <v>1503</v>
      </c>
      <c r="O175" s="8" t="s">
        <v>27</v>
      </c>
      <c r="P175" s="3" t="s">
        <v>1504</v>
      </c>
    </row>
    <row r="176" customFormat="false" ht="91" hidden="false" customHeight="false" outlineLevel="0" collapsed="false">
      <c r="A176" s="15" t="s">
        <v>65</v>
      </c>
      <c r="B176" s="4" t="s">
        <v>1505</v>
      </c>
      <c r="C176" s="3" t="s">
        <v>254</v>
      </c>
      <c r="D176" s="3" t="s">
        <v>254</v>
      </c>
      <c r="E176" s="3" t="s">
        <v>667</v>
      </c>
      <c r="F176" s="6" t="n">
        <v>382300</v>
      </c>
      <c r="G176" s="6" t="n">
        <v>344070</v>
      </c>
      <c r="H176" s="3" t="s">
        <v>1168</v>
      </c>
      <c r="I176" s="4" t="s">
        <v>1506</v>
      </c>
      <c r="J176" s="4" t="s">
        <v>1507</v>
      </c>
      <c r="K176" s="3" t="s">
        <v>253</v>
      </c>
      <c r="L176" s="3" t="s">
        <v>509</v>
      </c>
      <c r="M176" s="3" t="s">
        <v>1010</v>
      </c>
      <c r="N176" s="3" t="s">
        <v>1011</v>
      </c>
      <c r="O176" s="8" t="s">
        <v>27</v>
      </c>
      <c r="P176" s="3" t="s">
        <v>1508</v>
      </c>
    </row>
    <row r="177" customFormat="false" ht="79.85" hidden="false" customHeight="false" outlineLevel="0" collapsed="false">
      <c r="A177" s="15" t="s">
        <v>65</v>
      </c>
      <c r="B177" s="4" t="s">
        <v>383</v>
      </c>
      <c r="C177" s="3" t="s">
        <v>382</v>
      </c>
      <c r="D177" s="3" t="s">
        <v>227</v>
      </c>
      <c r="E177" s="3" t="s">
        <v>573</v>
      </c>
      <c r="F177" s="6" t="n">
        <v>449300</v>
      </c>
      <c r="G177" s="6" t="n">
        <v>342810</v>
      </c>
      <c r="H177" s="3" t="s">
        <v>1300</v>
      </c>
      <c r="I177" s="4" t="s">
        <v>1509</v>
      </c>
      <c r="J177" s="4" t="s">
        <v>1510</v>
      </c>
      <c r="K177" s="3" t="s">
        <v>381</v>
      </c>
      <c r="L177" s="3" t="s">
        <v>509</v>
      </c>
      <c r="M177" s="3" t="s">
        <v>1511</v>
      </c>
      <c r="N177" s="3" t="s">
        <v>1512</v>
      </c>
      <c r="O177" s="8" t="s">
        <v>27</v>
      </c>
      <c r="P177" s="3" t="s">
        <v>1513</v>
      </c>
    </row>
    <row r="178" customFormat="false" ht="46.25" hidden="false" customHeight="false" outlineLevel="0" collapsed="false">
      <c r="A178" s="15" t="s">
        <v>65</v>
      </c>
      <c r="B178" s="4" t="s">
        <v>1514</v>
      </c>
      <c r="C178" s="3" t="s">
        <v>233</v>
      </c>
      <c r="D178" s="3" t="s">
        <v>863</v>
      </c>
      <c r="E178" s="3" t="s">
        <v>573</v>
      </c>
      <c r="F178" s="6" t="n">
        <v>380600</v>
      </c>
      <c r="G178" s="6" t="n">
        <v>342540</v>
      </c>
      <c r="H178" s="3" t="s">
        <v>1300</v>
      </c>
      <c r="I178" s="4" t="s">
        <v>1515</v>
      </c>
      <c r="J178" s="4" t="s">
        <v>1516</v>
      </c>
      <c r="K178" s="3" t="s">
        <v>232</v>
      </c>
      <c r="L178" s="3" t="s">
        <v>509</v>
      </c>
      <c r="M178" s="3" t="s">
        <v>939</v>
      </c>
      <c r="N178" s="3" t="s">
        <v>940</v>
      </c>
      <c r="O178" s="8" t="s">
        <v>27</v>
      </c>
      <c r="P178" s="3" t="s">
        <v>1517</v>
      </c>
    </row>
    <row r="179" customFormat="false" ht="35.05" hidden="false" customHeight="false" outlineLevel="0" collapsed="false">
      <c r="A179" s="15" t="s">
        <v>65</v>
      </c>
      <c r="B179" s="4" t="s">
        <v>1518</v>
      </c>
      <c r="C179" s="3" t="s">
        <v>1519</v>
      </c>
      <c r="D179" s="3" t="s">
        <v>278</v>
      </c>
      <c r="E179" s="3" t="s">
        <v>584</v>
      </c>
      <c r="F179" s="6" t="n">
        <v>380300</v>
      </c>
      <c r="G179" s="6" t="n">
        <v>342270</v>
      </c>
      <c r="H179" s="3" t="s">
        <v>1300</v>
      </c>
      <c r="I179" s="4" t="s">
        <v>1520</v>
      </c>
      <c r="J179" s="4" t="s">
        <v>1521</v>
      </c>
      <c r="K179" s="3"/>
      <c r="L179" s="3"/>
      <c r="M179" s="3"/>
      <c r="N179" s="3"/>
      <c r="O179" s="8" t="s">
        <v>27</v>
      </c>
      <c r="P179" s="3" t="s">
        <v>1522</v>
      </c>
    </row>
    <row r="180" customFormat="false" ht="113.4" hidden="false" customHeight="false" outlineLevel="0" collapsed="false">
      <c r="A180" s="15" t="s">
        <v>65</v>
      </c>
      <c r="B180" s="4" t="s">
        <v>1523</v>
      </c>
      <c r="C180" s="3" t="s">
        <v>254</v>
      </c>
      <c r="D180" s="3" t="s">
        <v>254</v>
      </c>
      <c r="E180" s="3" t="s">
        <v>573</v>
      </c>
      <c r="F180" s="6" t="n">
        <v>379800</v>
      </c>
      <c r="G180" s="6" t="n">
        <v>341820</v>
      </c>
      <c r="H180" s="3" t="s">
        <v>1300</v>
      </c>
      <c r="I180" s="4" t="s">
        <v>1524</v>
      </c>
      <c r="J180" s="4" t="s">
        <v>1525</v>
      </c>
      <c r="K180" s="3" t="s">
        <v>253</v>
      </c>
      <c r="L180" s="3" t="s">
        <v>509</v>
      </c>
      <c r="M180" s="3" t="s">
        <v>1010</v>
      </c>
      <c r="N180" s="3" t="s">
        <v>1011</v>
      </c>
      <c r="O180" s="8" t="s">
        <v>27</v>
      </c>
      <c r="P180" s="3" t="s">
        <v>1526</v>
      </c>
    </row>
    <row r="181" customFormat="false" ht="79.85" hidden="false" customHeight="false" outlineLevel="0" collapsed="false">
      <c r="A181" s="14" t="s">
        <v>17</v>
      </c>
      <c r="B181" s="4" t="s">
        <v>318</v>
      </c>
      <c r="C181" s="3" t="s">
        <v>317</v>
      </c>
      <c r="D181" s="3" t="s">
        <v>272</v>
      </c>
      <c r="E181" s="3" t="s">
        <v>1444</v>
      </c>
      <c r="F181" s="6" t="n">
        <v>627600</v>
      </c>
      <c r="G181" s="6" t="n">
        <v>340560</v>
      </c>
      <c r="H181" s="3" t="s">
        <v>1300</v>
      </c>
      <c r="I181" s="4" t="s">
        <v>1527</v>
      </c>
      <c r="J181" s="4" t="s">
        <v>1528</v>
      </c>
      <c r="K181" s="3" t="s">
        <v>316</v>
      </c>
      <c r="L181" s="3" t="s">
        <v>509</v>
      </c>
      <c r="M181" s="3" t="s">
        <v>1529</v>
      </c>
      <c r="N181" s="3" t="s">
        <v>1530</v>
      </c>
      <c r="O181" s="8" t="s">
        <v>27</v>
      </c>
      <c r="P181" s="3" t="s">
        <v>1531</v>
      </c>
    </row>
    <row r="182" customFormat="false" ht="68.65" hidden="false" customHeight="false" outlineLevel="0" collapsed="false">
      <c r="A182" s="15" t="s">
        <v>65</v>
      </c>
      <c r="B182" s="4" t="s">
        <v>386</v>
      </c>
      <c r="C182" s="3" t="s">
        <v>385</v>
      </c>
      <c r="D182" s="3" t="s">
        <v>1229</v>
      </c>
      <c r="E182" s="3" t="s">
        <v>573</v>
      </c>
      <c r="F182" s="6" t="n">
        <v>376000</v>
      </c>
      <c r="G182" s="6" t="n">
        <v>338400</v>
      </c>
      <c r="H182" s="3" t="s">
        <v>718</v>
      </c>
      <c r="I182" s="4" t="s">
        <v>1532</v>
      </c>
      <c r="J182" s="4" t="s">
        <v>1533</v>
      </c>
      <c r="K182" s="3" t="s">
        <v>384</v>
      </c>
      <c r="L182" s="3" t="s">
        <v>509</v>
      </c>
      <c r="M182" s="3" t="s">
        <v>1534</v>
      </c>
      <c r="N182" s="3" t="s">
        <v>1535</v>
      </c>
      <c r="O182" s="8" t="s">
        <v>27</v>
      </c>
      <c r="P182" s="3" t="s">
        <v>1536</v>
      </c>
    </row>
    <row r="183" customFormat="false" ht="57.45" hidden="false" customHeight="false" outlineLevel="0" collapsed="false">
      <c r="A183" s="15" t="s">
        <v>65</v>
      </c>
      <c r="B183" s="4" t="s">
        <v>1537</v>
      </c>
      <c r="C183" s="3" t="s">
        <v>1014</v>
      </c>
      <c r="D183" s="3" t="s">
        <v>769</v>
      </c>
      <c r="E183" s="3" t="s">
        <v>864</v>
      </c>
      <c r="F183" s="6" t="n">
        <v>373000</v>
      </c>
      <c r="G183" s="6" t="n">
        <v>335700</v>
      </c>
      <c r="H183" s="3" t="s">
        <v>1300</v>
      </c>
      <c r="I183" s="4" t="s">
        <v>1538</v>
      </c>
      <c r="J183" s="4" t="s">
        <v>1539</v>
      </c>
      <c r="K183" s="3"/>
      <c r="L183" s="3"/>
      <c r="M183" s="3"/>
      <c r="N183" s="3"/>
      <c r="O183" s="8" t="s">
        <v>27</v>
      </c>
      <c r="P183" s="3" t="s">
        <v>1540</v>
      </c>
    </row>
    <row r="184" customFormat="false" ht="35.05" hidden="false" customHeight="false" outlineLevel="0" collapsed="false">
      <c r="A184" s="15" t="s">
        <v>65</v>
      </c>
      <c r="B184" s="4" t="s">
        <v>389</v>
      </c>
      <c r="C184" s="3" t="s">
        <v>388</v>
      </c>
      <c r="D184" s="3" t="s">
        <v>388</v>
      </c>
      <c r="E184" s="3" t="s">
        <v>608</v>
      </c>
      <c r="F184" s="6" t="n">
        <v>361800</v>
      </c>
      <c r="G184" s="6" t="n">
        <v>325620</v>
      </c>
      <c r="H184" s="3" t="s">
        <v>1309</v>
      </c>
      <c r="I184" s="4" t="s">
        <v>1541</v>
      </c>
      <c r="J184" s="4" t="s">
        <v>1542</v>
      </c>
      <c r="K184" s="3" t="s">
        <v>387</v>
      </c>
      <c r="L184" s="3" t="s">
        <v>509</v>
      </c>
      <c r="M184" s="3" t="s">
        <v>1543</v>
      </c>
      <c r="N184" s="3" t="s">
        <v>1544</v>
      </c>
      <c r="O184" s="8" t="s">
        <v>27</v>
      </c>
      <c r="P184" s="3" t="s">
        <v>1545</v>
      </c>
    </row>
    <row r="185" customFormat="false" ht="46.25" hidden="false" customHeight="false" outlineLevel="0" collapsed="false">
      <c r="A185" s="15" t="s">
        <v>65</v>
      </c>
      <c r="B185" s="4" t="s">
        <v>392</v>
      </c>
      <c r="C185" s="3" t="s">
        <v>391</v>
      </c>
      <c r="D185" s="3" t="s">
        <v>717</v>
      </c>
      <c r="E185" s="3" t="s">
        <v>573</v>
      </c>
      <c r="F185" s="6" t="n">
        <v>360700</v>
      </c>
      <c r="G185" s="6" t="n">
        <v>324630</v>
      </c>
      <c r="H185" s="3" t="s">
        <v>1300</v>
      </c>
      <c r="I185" s="4" t="s">
        <v>1546</v>
      </c>
      <c r="J185" s="4" t="s">
        <v>1547</v>
      </c>
      <c r="K185" s="3" t="s">
        <v>390</v>
      </c>
      <c r="L185" s="3" t="s">
        <v>509</v>
      </c>
      <c r="M185" s="3" t="s">
        <v>1548</v>
      </c>
      <c r="N185" s="3" t="s">
        <v>1549</v>
      </c>
      <c r="O185" s="8" t="s">
        <v>27</v>
      </c>
      <c r="P185" s="3" t="s">
        <v>1550</v>
      </c>
    </row>
    <row r="186" customFormat="false" ht="57.45" hidden="false" customHeight="false" outlineLevel="0" collapsed="false">
      <c r="A186" s="15" t="s">
        <v>65</v>
      </c>
      <c r="B186" s="4" t="s">
        <v>1551</v>
      </c>
      <c r="C186" s="3" t="s">
        <v>239</v>
      </c>
      <c r="D186" s="3" t="s">
        <v>278</v>
      </c>
      <c r="E186" s="3" t="s">
        <v>1444</v>
      </c>
      <c r="F186" s="6" t="n">
        <v>357600</v>
      </c>
      <c r="G186" s="6" t="n">
        <v>321840</v>
      </c>
      <c r="H186" s="3" t="s">
        <v>1300</v>
      </c>
      <c r="I186" s="4" t="s">
        <v>1552</v>
      </c>
      <c r="J186" s="4" t="s">
        <v>1553</v>
      </c>
      <c r="K186" s="3" t="s">
        <v>238</v>
      </c>
      <c r="L186" s="3" t="s">
        <v>515</v>
      </c>
      <c r="M186" s="3" t="s">
        <v>954</v>
      </c>
      <c r="N186" s="3" t="s">
        <v>955</v>
      </c>
      <c r="O186" s="8" t="s">
        <v>27</v>
      </c>
      <c r="P186" s="3" t="s">
        <v>1554</v>
      </c>
    </row>
    <row r="187" customFormat="false" ht="68.65" hidden="false" customHeight="false" outlineLevel="0" collapsed="false">
      <c r="A187" s="15" t="s">
        <v>65</v>
      </c>
      <c r="B187" s="4" t="s">
        <v>1555</v>
      </c>
      <c r="C187" s="3" t="s">
        <v>1197</v>
      </c>
      <c r="D187" s="3" t="s">
        <v>1198</v>
      </c>
      <c r="E187" s="3" t="s">
        <v>573</v>
      </c>
      <c r="F187" s="6" t="n">
        <v>350000</v>
      </c>
      <c r="G187" s="6" t="n">
        <v>315000</v>
      </c>
      <c r="H187" s="3" t="s">
        <v>1300</v>
      </c>
      <c r="I187" s="4" t="s">
        <v>1556</v>
      </c>
      <c r="J187" s="4" t="s">
        <v>1557</v>
      </c>
      <c r="K187" s="3"/>
      <c r="L187" s="3"/>
      <c r="M187" s="3"/>
      <c r="N187" s="3"/>
      <c r="O187" s="8" t="s">
        <v>27</v>
      </c>
      <c r="P187" s="3" t="s">
        <v>1558</v>
      </c>
    </row>
    <row r="188" customFormat="false" ht="68.65" hidden="false" customHeight="false" outlineLevel="0" collapsed="false">
      <c r="A188" s="15" t="s">
        <v>65</v>
      </c>
      <c r="B188" s="4" t="s">
        <v>1559</v>
      </c>
      <c r="C188" s="3" t="s">
        <v>1252</v>
      </c>
      <c r="D188" s="3" t="s">
        <v>1198</v>
      </c>
      <c r="E188" s="3" t="s">
        <v>584</v>
      </c>
      <c r="F188" s="6" t="n">
        <v>350000</v>
      </c>
      <c r="G188" s="6" t="n">
        <v>315000</v>
      </c>
      <c r="H188" s="3" t="s">
        <v>1300</v>
      </c>
      <c r="I188" s="4" t="s">
        <v>1560</v>
      </c>
      <c r="J188" s="4" t="s">
        <v>1561</v>
      </c>
      <c r="K188" s="3"/>
      <c r="L188" s="3"/>
      <c r="M188" s="3"/>
      <c r="N188" s="3"/>
      <c r="O188" s="8" t="s">
        <v>27</v>
      </c>
      <c r="P188" s="3" t="s">
        <v>1562</v>
      </c>
    </row>
    <row r="189" customFormat="false" ht="68.65" hidden="false" customHeight="false" outlineLevel="0" collapsed="false">
      <c r="A189" s="15" t="s">
        <v>65</v>
      </c>
      <c r="B189" s="4" t="s">
        <v>395</v>
      </c>
      <c r="C189" s="3" t="s">
        <v>394</v>
      </c>
      <c r="D189" s="3" t="s">
        <v>440</v>
      </c>
      <c r="E189" s="3" t="s">
        <v>1563</v>
      </c>
      <c r="F189" s="6" t="n">
        <v>350000</v>
      </c>
      <c r="G189" s="6" t="n">
        <v>315000</v>
      </c>
      <c r="H189" s="3" t="s">
        <v>1300</v>
      </c>
      <c r="I189" s="4" t="s">
        <v>1564</v>
      </c>
      <c r="J189" s="4" t="s">
        <v>1565</v>
      </c>
      <c r="K189" s="3" t="s">
        <v>393</v>
      </c>
      <c r="L189" s="3" t="s">
        <v>509</v>
      </c>
      <c r="M189" s="3" t="s">
        <v>1001</v>
      </c>
      <c r="N189" s="3" t="s">
        <v>1566</v>
      </c>
      <c r="O189" s="8" t="s">
        <v>27</v>
      </c>
      <c r="P189" s="3" t="s">
        <v>1567</v>
      </c>
    </row>
    <row r="190" customFormat="false" ht="68.65" hidden="false" customHeight="false" outlineLevel="0" collapsed="false">
      <c r="A190" s="15" t="s">
        <v>65</v>
      </c>
      <c r="B190" s="4" t="s">
        <v>395</v>
      </c>
      <c r="C190" s="3" t="s">
        <v>397</v>
      </c>
      <c r="D190" s="3" t="s">
        <v>1198</v>
      </c>
      <c r="E190" s="3" t="s">
        <v>1563</v>
      </c>
      <c r="F190" s="6" t="n">
        <v>350000</v>
      </c>
      <c r="G190" s="6" t="n">
        <v>315000</v>
      </c>
      <c r="H190" s="3" t="s">
        <v>1300</v>
      </c>
      <c r="I190" s="4" t="s">
        <v>1568</v>
      </c>
      <c r="J190" s="4" t="s">
        <v>1569</v>
      </c>
      <c r="K190" s="3" t="s">
        <v>396</v>
      </c>
      <c r="L190" s="3" t="s">
        <v>509</v>
      </c>
      <c r="M190" s="3" t="s">
        <v>1001</v>
      </c>
      <c r="N190" s="3" t="s">
        <v>1570</v>
      </c>
      <c r="O190" s="8" t="s">
        <v>27</v>
      </c>
      <c r="P190" s="3" t="s">
        <v>1571</v>
      </c>
    </row>
    <row r="191" customFormat="false" ht="57.45" hidden="false" customHeight="false" outlineLevel="0" collapsed="false">
      <c r="A191" s="15" t="s">
        <v>65</v>
      </c>
      <c r="B191" s="4" t="s">
        <v>1572</v>
      </c>
      <c r="C191" s="3" t="s">
        <v>1573</v>
      </c>
      <c r="D191" s="3" t="s">
        <v>440</v>
      </c>
      <c r="E191" s="3" t="s">
        <v>667</v>
      </c>
      <c r="F191" s="6" t="n">
        <v>350000</v>
      </c>
      <c r="G191" s="6" t="n">
        <v>315000</v>
      </c>
      <c r="H191" s="3" t="s">
        <v>1300</v>
      </c>
      <c r="I191" s="4" t="s">
        <v>1574</v>
      </c>
      <c r="J191" s="4" t="s">
        <v>1575</v>
      </c>
      <c r="K191" s="3"/>
      <c r="L191" s="3"/>
      <c r="M191" s="3"/>
      <c r="N191" s="3"/>
      <c r="O191" s="8" t="s">
        <v>27</v>
      </c>
      <c r="P191" s="3" t="s">
        <v>1576</v>
      </c>
    </row>
    <row r="192" customFormat="false" ht="46.25" hidden="false" customHeight="false" outlineLevel="0" collapsed="false">
      <c r="A192" s="15" t="s">
        <v>65</v>
      </c>
      <c r="B192" s="4" t="s">
        <v>1577</v>
      </c>
      <c r="C192" s="3" t="s">
        <v>209</v>
      </c>
      <c r="D192" s="3" t="s">
        <v>769</v>
      </c>
      <c r="E192" s="3" t="s">
        <v>864</v>
      </c>
      <c r="F192" s="6" t="n">
        <v>349600</v>
      </c>
      <c r="G192" s="6" t="n">
        <v>314640</v>
      </c>
      <c r="H192" s="3" t="s">
        <v>1300</v>
      </c>
      <c r="I192" s="4" t="s">
        <v>1578</v>
      </c>
      <c r="J192" s="4" t="s">
        <v>1579</v>
      </c>
      <c r="K192" s="3" t="s">
        <v>208</v>
      </c>
      <c r="L192" s="3" t="s">
        <v>509</v>
      </c>
      <c r="M192" s="3" t="s">
        <v>879</v>
      </c>
      <c r="N192" s="3" t="s">
        <v>880</v>
      </c>
      <c r="O192" s="8" t="s">
        <v>27</v>
      </c>
      <c r="P192" s="3" t="s">
        <v>1580</v>
      </c>
    </row>
    <row r="193" customFormat="false" ht="68.65" hidden="false" customHeight="false" outlineLevel="0" collapsed="false">
      <c r="A193" s="15" t="s">
        <v>65</v>
      </c>
      <c r="B193" s="4" t="s">
        <v>400</v>
      </c>
      <c r="C193" s="3" t="s">
        <v>399</v>
      </c>
      <c r="D193" s="3" t="s">
        <v>473</v>
      </c>
      <c r="E193" s="3" t="s">
        <v>573</v>
      </c>
      <c r="F193" s="6" t="n">
        <v>349100</v>
      </c>
      <c r="G193" s="6" t="n">
        <v>314190</v>
      </c>
      <c r="H193" s="3" t="s">
        <v>1300</v>
      </c>
      <c r="I193" s="4" t="s">
        <v>1581</v>
      </c>
      <c r="J193" s="4" t="s">
        <v>1582</v>
      </c>
      <c r="K193" s="3" t="s">
        <v>398</v>
      </c>
      <c r="L193" s="3" t="s">
        <v>509</v>
      </c>
      <c r="M193" s="3" t="s">
        <v>1583</v>
      </c>
      <c r="N193" s="3" t="s">
        <v>1584</v>
      </c>
      <c r="O193" s="8" t="s">
        <v>27</v>
      </c>
      <c r="P193" s="3" t="s">
        <v>1585</v>
      </c>
    </row>
    <row r="194" customFormat="false" ht="91" hidden="false" customHeight="false" outlineLevel="0" collapsed="false">
      <c r="A194" s="15" t="s">
        <v>65</v>
      </c>
      <c r="B194" s="4" t="s">
        <v>1586</v>
      </c>
      <c r="C194" s="3" t="s">
        <v>327</v>
      </c>
      <c r="D194" s="3" t="s">
        <v>769</v>
      </c>
      <c r="E194" s="3" t="s">
        <v>667</v>
      </c>
      <c r="F194" s="6" t="n">
        <v>348200</v>
      </c>
      <c r="G194" s="6" t="n">
        <v>313380</v>
      </c>
      <c r="H194" s="3" t="s">
        <v>1168</v>
      </c>
      <c r="I194" s="4" t="s">
        <v>1587</v>
      </c>
      <c r="J194" s="4" t="s">
        <v>1588</v>
      </c>
      <c r="K194" s="3" t="s">
        <v>326</v>
      </c>
      <c r="L194" s="3" t="s">
        <v>509</v>
      </c>
      <c r="M194" s="3" t="s">
        <v>523</v>
      </c>
      <c r="N194" s="3" t="s">
        <v>524</v>
      </c>
      <c r="O194" s="8" t="s">
        <v>27</v>
      </c>
      <c r="P194" s="3" t="s">
        <v>1589</v>
      </c>
    </row>
    <row r="195" customFormat="false" ht="91" hidden="false" customHeight="false" outlineLevel="0" collapsed="false">
      <c r="A195" s="15" t="s">
        <v>65</v>
      </c>
      <c r="B195" s="4" t="s">
        <v>1590</v>
      </c>
      <c r="C195" s="3" t="s">
        <v>385</v>
      </c>
      <c r="D195" s="3" t="s">
        <v>1229</v>
      </c>
      <c r="E195" s="3" t="s">
        <v>573</v>
      </c>
      <c r="F195" s="6" t="n">
        <v>348100</v>
      </c>
      <c r="G195" s="6" t="n">
        <v>313290</v>
      </c>
      <c r="H195" s="3" t="s">
        <v>1300</v>
      </c>
      <c r="I195" s="4" t="s">
        <v>1591</v>
      </c>
      <c r="J195" s="4" t="s">
        <v>1592</v>
      </c>
      <c r="K195" s="3" t="s">
        <v>384</v>
      </c>
      <c r="L195" s="3" t="s">
        <v>509</v>
      </c>
      <c r="M195" s="3" t="s">
        <v>1534</v>
      </c>
      <c r="N195" s="3" t="s">
        <v>1535</v>
      </c>
      <c r="O195" s="8" t="s">
        <v>27</v>
      </c>
      <c r="P195" s="3" t="s">
        <v>1593</v>
      </c>
    </row>
    <row r="196" customFormat="false" ht="91" hidden="false" customHeight="false" outlineLevel="0" collapsed="false">
      <c r="A196" s="15" t="s">
        <v>65</v>
      </c>
      <c r="B196" s="4" t="s">
        <v>403</v>
      </c>
      <c r="C196" s="3" t="s">
        <v>402</v>
      </c>
      <c r="D196" s="3" t="s">
        <v>212</v>
      </c>
      <c r="E196" s="3" t="s">
        <v>584</v>
      </c>
      <c r="F196" s="6" t="n">
        <v>346100</v>
      </c>
      <c r="G196" s="6" t="n">
        <v>311490</v>
      </c>
      <c r="H196" s="3" t="s">
        <v>1300</v>
      </c>
      <c r="I196" s="4" t="s">
        <v>1594</v>
      </c>
      <c r="J196" s="4" t="s">
        <v>1595</v>
      </c>
      <c r="K196" s="3" t="s">
        <v>401</v>
      </c>
      <c r="L196" s="3" t="s">
        <v>509</v>
      </c>
      <c r="M196" s="3" t="s">
        <v>1596</v>
      </c>
      <c r="N196" s="3" t="s">
        <v>1597</v>
      </c>
      <c r="O196" s="8" t="s">
        <v>27</v>
      </c>
      <c r="P196" s="3" t="s">
        <v>1598</v>
      </c>
    </row>
    <row r="197" customFormat="false" ht="79.85" hidden="false" customHeight="false" outlineLevel="0" collapsed="false">
      <c r="A197" s="15" t="s">
        <v>65</v>
      </c>
      <c r="B197" s="4" t="s">
        <v>1599</v>
      </c>
      <c r="C197" s="3" t="s">
        <v>254</v>
      </c>
      <c r="D197" s="3" t="s">
        <v>254</v>
      </c>
      <c r="E197" s="3" t="s">
        <v>608</v>
      </c>
      <c r="F197" s="6" t="n">
        <v>344400</v>
      </c>
      <c r="G197" s="6" t="n">
        <v>309960</v>
      </c>
      <c r="H197" s="3" t="s">
        <v>1309</v>
      </c>
      <c r="I197" s="4" t="s">
        <v>1600</v>
      </c>
      <c r="J197" s="4" t="s">
        <v>1601</v>
      </c>
      <c r="K197" s="3" t="s">
        <v>253</v>
      </c>
      <c r="L197" s="3" t="s">
        <v>509</v>
      </c>
      <c r="M197" s="3" t="s">
        <v>1010</v>
      </c>
      <c r="N197" s="3" t="s">
        <v>1011</v>
      </c>
      <c r="O197" s="8" t="s">
        <v>27</v>
      </c>
      <c r="P197" s="3" t="s">
        <v>1602</v>
      </c>
    </row>
    <row r="198" customFormat="false" ht="68.65" hidden="false" customHeight="false" outlineLevel="0" collapsed="false">
      <c r="A198" s="15" t="s">
        <v>65</v>
      </c>
      <c r="B198" s="4" t="s">
        <v>406</v>
      </c>
      <c r="C198" s="3" t="s">
        <v>405</v>
      </c>
      <c r="D198" s="3" t="s">
        <v>224</v>
      </c>
      <c r="E198" s="3" t="s">
        <v>608</v>
      </c>
      <c r="F198" s="6" t="n">
        <v>342300</v>
      </c>
      <c r="G198" s="6" t="n">
        <v>308070</v>
      </c>
      <c r="H198" s="3" t="s">
        <v>1300</v>
      </c>
      <c r="I198" s="4" t="s">
        <v>1603</v>
      </c>
      <c r="J198" s="4" t="s">
        <v>1604</v>
      </c>
      <c r="K198" s="3" t="s">
        <v>404</v>
      </c>
      <c r="L198" s="3" t="s">
        <v>509</v>
      </c>
      <c r="M198" s="3" t="s">
        <v>1605</v>
      </c>
      <c r="N198" s="3" t="s">
        <v>1606</v>
      </c>
      <c r="O198" s="8" t="s">
        <v>27</v>
      </c>
      <c r="P198" s="3" t="s">
        <v>1607</v>
      </c>
    </row>
    <row r="199" customFormat="false" ht="57.45" hidden="false" customHeight="false" outlineLevel="0" collapsed="false">
      <c r="A199" s="15" t="s">
        <v>65</v>
      </c>
      <c r="B199" s="4" t="s">
        <v>409</v>
      </c>
      <c r="C199" s="3" t="s">
        <v>408</v>
      </c>
      <c r="D199" s="3" t="s">
        <v>1261</v>
      </c>
      <c r="E199" s="3" t="s">
        <v>864</v>
      </c>
      <c r="F199" s="6" t="n">
        <v>341900</v>
      </c>
      <c r="G199" s="6" t="n">
        <v>307710</v>
      </c>
      <c r="H199" s="3" t="s">
        <v>1300</v>
      </c>
      <c r="I199" s="4" t="s">
        <v>1608</v>
      </c>
      <c r="J199" s="4" t="s">
        <v>1609</v>
      </c>
      <c r="K199" s="3" t="s">
        <v>407</v>
      </c>
      <c r="L199" s="3" t="s">
        <v>509</v>
      </c>
      <c r="M199" s="3"/>
      <c r="N199" s="3" t="s">
        <v>1610</v>
      </c>
      <c r="O199" s="8" t="s">
        <v>27</v>
      </c>
      <c r="P199" s="3" t="s">
        <v>1611</v>
      </c>
    </row>
    <row r="200" customFormat="false" ht="68.65" hidden="false" customHeight="false" outlineLevel="0" collapsed="false">
      <c r="A200" s="15" t="s">
        <v>65</v>
      </c>
      <c r="B200" s="4" t="s">
        <v>1612</v>
      </c>
      <c r="C200" s="3" t="s">
        <v>1613</v>
      </c>
      <c r="D200" s="3" t="s">
        <v>170</v>
      </c>
      <c r="E200" s="3" t="s">
        <v>584</v>
      </c>
      <c r="F200" s="6" t="n">
        <v>338000</v>
      </c>
      <c r="G200" s="6" t="n">
        <v>304200</v>
      </c>
      <c r="H200" s="3" t="s">
        <v>1300</v>
      </c>
      <c r="I200" s="4" t="s">
        <v>1614</v>
      </c>
      <c r="J200" s="4" t="s">
        <v>1615</v>
      </c>
      <c r="K200" s="3"/>
      <c r="L200" s="3"/>
      <c r="M200" s="3"/>
      <c r="N200" s="3"/>
      <c r="O200" s="8" t="s">
        <v>27</v>
      </c>
      <c r="P200" s="3" t="s">
        <v>1616</v>
      </c>
    </row>
    <row r="201" customFormat="false" ht="46.25" hidden="false" customHeight="false" outlineLevel="0" collapsed="false">
      <c r="A201" s="15" t="s">
        <v>65</v>
      </c>
      <c r="B201" s="4" t="s">
        <v>412</v>
      </c>
      <c r="C201" s="3" t="s">
        <v>411</v>
      </c>
      <c r="D201" s="3" t="s">
        <v>272</v>
      </c>
      <c r="E201" s="3" t="s">
        <v>584</v>
      </c>
      <c r="F201" s="6" t="n">
        <v>311700</v>
      </c>
      <c r="G201" s="6" t="n">
        <v>280530</v>
      </c>
      <c r="H201" s="3" t="s">
        <v>1300</v>
      </c>
      <c r="I201" s="4" t="s">
        <v>1617</v>
      </c>
      <c r="J201" s="4" t="s">
        <v>1618</v>
      </c>
      <c r="K201" s="3" t="s">
        <v>410</v>
      </c>
      <c r="L201" s="3" t="s">
        <v>515</v>
      </c>
      <c r="M201" s="3" t="s">
        <v>1619</v>
      </c>
      <c r="N201" s="3" t="s">
        <v>1620</v>
      </c>
      <c r="O201" s="8" t="s">
        <v>27</v>
      </c>
      <c r="P201" s="3" t="s">
        <v>1621</v>
      </c>
    </row>
    <row r="202" customFormat="false" ht="68.65" hidden="false" customHeight="false" outlineLevel="0" collapsed="false">
      <c r="A202" s="15" t="s">
        <v>65</v>
      </c>
      <c r="B202" s="4" t="s">
        <v>1622</v>
      </c>
      <c r="C202" s="3" t="s">
        <v>284</v>
      </c>
      <c r="D202" s="3" t="s">
        <v>717</v>
      </c>
      <c r="E202" s="3" t="s">
        <v>501</v>
      </c>
      <c r="F202" s="6" t="n">
        <v>308800</v>
      </c>
      <c r="G202" s="6" t="n">
        <v>277920</v>
      </c>
      <c r="H202" s="3" t="s">
        <v>718</v>
      </c>
      <c r="I202" s="4" t="s">
        <v>1623</v>
      </c>
      <c r="J202" s="4" t="s">
        <v>1624</v>
      </c>
      <c r="K202" s="3" t="s">
        <v>283</v>
      </c>
      <c r="L202" s="3" t="s">
        <v>509</v>
      </c>
      <c r="M202" s="3"/>
      <c r="N202" s="3" t="s">
        <v>1158</v>
      </c>
      <c r="O202" s="8" t="s">
        <v>27</v>
      </c>
      <c r="P202" s="3" t="s">
        <v>1625</v>
      </c>
    </row>
    <row r="203" customFormat="false" ht="79.85" hidden="false" customHeight="false" outlineLevel="0" collapsed="false">
      <c r="A203" s="15" t="s">
        <v>65</v>
      </c>
      <c r="B203" s="4" t="s">
        <v>1626</v>
      </c>
      <c r="C203" s="3" t="s">
        <v>221</v>
      </c>
      <c r="D203" s="3" t="s">
        <v>221</v>
      </c>
      <c r="E203" s="3" t="s">
        <v>667</v>
      </c>
      <c r="F203" s="6" t="n">
        <v>307200</v>
      </c>
      <c r="G203" s="6" t="n">
        <v>276480</v>
      </c>
      <c r="H203" s="3" t="s">
        <v>718</v>
      </c>
      <c r="I203" s="4" t="s">
        <v>1627</v>
      </c>
      <c r="J203" s="4" t="s">
        <v>1628</v>
      </c>
      <c r="K203" s="3" t="s">
        <v>220</v>
      </c>
      <c r="L203" s="3" t="s">
        <v>509</v>
      </c>
      <c r="M203" s="3" t="s">
        <v>919</v>
      </c>
      <c r="N203" s="3" t="s">
        <v>920</v>
      </c>
      <c r="O203" s="8" t="s">
        <v>27</v>
      </c>
      <c r="P203" s="3" t="s">
        <v>1629</v>
      </c>
    </row>
    <row r="204" customFormat="false" ht="91" hidden="false" customHeight="false" outlineLevel="0" collapsed="false">
      <c r="A204" s="15" t="s">
        <v>65</v>
      </c>
      <c r="B204" s="4" t="s">
        <v>1630</v>
      </c>
      <c r="C204" s="3" t="s">
        <v>1384</v>
      </c>
      <c r="D204" s="3" t="s">
        <v>769</v>
      </c>
      <c r="E204" s="3" t="s">
        <v>667</v>
      </c>
      <c r="F204" s="6" t="n">
        <v>302400</v>
      </c>
      <c r="G204" s="6" t="n">
        <v>272160</v>
      </c>
      <c r="H204" s="3" t="s">
        <v>718</v>
      </c>
      <c r="I204" s="4" t="s">
        <v>1631</v>
      </c>
      <c r="J204" s="4" t="s">
        <v>1632</v>
      </c>
      <c r="K204" s="3"/>
      <c r="L204" s="3"/>
      <c r="M204" s="3"/>
      <c r="N204" s="3"/>
      <c r="O204" s="8" t="s">
        <v>27</v>
      </c>
      <c r="P204" s="3" t="s">
        <v>1633</v>
      </c>
    </row>
    <row r="205" customFormat="false" ht="57.45" hidden="false" customHeight="false" outlineLevel="0" collapsed="false">
      <c r="A205" s="15" t="s">
        <v>65</v>
      </c>
      <c r="B205" s="4" t="s">
        <v>1634</v>
      </c>
      <c r="C205" s="3" t="s">
        <v>215</v>
      </c>
      <c r="D205" s="3" t="s">
        <v>717</v>
      </c>
      <c r="E205" s="3" t="s">
        <v>573</v>
      </c>
      <c r="F205" s="6" t="n">
        <v>299700</v>
      </c>
      <c r="G205" s="6" t="n">
        <v>269730</v>
      </c>
      <c r="H205" s="3" t="s">
        <v>1300</v>
      </c>
      <c r="I205" s="4" t="s">
        <v>1635</v>
      </c>
      <c r="J205" s="4" t="s">
        <v>1636</v>
      </c>
      <c r="K205" s="3" t="s">
        <v>214</v>
      </c>
      <c r="L205" s="3" t="s">
        <v>509</v>
      </c>
      <c r="M205" s="3" t="s">
        <v>896</v>
      </c>
      <c r="N205" s="3" t="s">
        <v>897</v>
      </c>
      <c r="O205" s="8" t="s">
        <v>27</v>
      </c>
      <c r="P205" s="3" t="s">
        <v>1637</v>
      </c>
    </row>
    <row r="206" customFormat="false" ht="68.65" hidden="false" customHeight="false" outlineLevel="0" collapsed="false">
      <c r="A206" s="15" t="s">
        <v>65</v>
      </c>
      <c r="B206" s="4" t="s">
        <v>1638</v>
      </c>
      <c r="C206" s="3" t="s">
        <v>437</v>
      </c>
      <c r="D206" s="3" t="s">
        <v>748</v>
      </c>
      <c r="E206" s="3" t="s">
        <v>584</v>
      </c>
      <c r="F206" s="6" t="n">
        <v>298600</v>
      </c>
      <c r="G206" s="6" t="n">
        <v>268740</v>
      </c>
      <c r="H206" s="3" t="s">
        <v>1300</v>
      </c>
      <c r="I206" s="4" t="s">
        <v>1639</v>
      </c>
      <c r="J206" s="4" t="s">
        <v>1640</v>
      </c>
      <c r="K206" s="3" t="s">
        <v>436</v>
      </c>
      <c r="L206" s="3" t="s">
        <v>509</v>
      </c>
      <c r="M206" s="3" t="s">
        <v>570</v>
      </c>
      <c r="N206" s="3" t="s">
        <v>571</v>
      </c>
      <c r="O206" s="8" t="s">
        <v>27</v>
      </c>
      <c r="P206" s="3" t="s">
        <v>1641</v>
      </c>
    </row>
    <row r="207" customFormat="false" ht="35.05" hidden="false" customHeight="false" outlineLevel="0" collapsed="false">
      <c r="A207" s="15" t="s">
        <v>65</v>
      </c>
      <c r="B207" s="4" t="s">
        <v>1642</v>
      </c>
      <c r="C207" s="3" t="s">
        <v>612</v>
      </c>
      <c r="D207" s="3" t="s">
        <v>224</v>
      </c>
      <c r="E207" s="3" t="s">
        <v>608</v>
      </c>
      <c r="F207" s="6" t="n">
        <v>297300</v>
      </c>
      <c r="G207" s="6" t="n">
        <v>267570</v>
      </c>
      <c r="H207" s="3" t="s">
        <v>1309</v>
      </c>
      <c r="I207" s="4" t="s">
        <v>1643</v>
      </c>
      <c r="J207" s="4" t="s">
        <v>1644</v>
      </c>
      <c r="K207" s="3"/>
      <c r="L207" s="3"/>
      <c r="M207" s="3"/>
      <c r="N207" s="3"/>
      <c r="O207" s="8" t="s">
        <v>27</v>
      </c>
      <c r="P207" s="3" t="s">
        <v>1645</v>
      </c>
    </row>
    <row r="208" customFormat="false" ht="35.05" hidden="false" customHeight="false" outlineLevel="0" collapsed="false">
      <c r="A208" s="15" t="s">
        <v>65</v>
      </c>
      <c r="B208" s="4" t="s">
        <v>1646</v>
      </c>
      <c r="C208" s="3" t="s">
        <v>793</v>
      </c>
      <c r="D208" s="3" t="s">
        <v>769</v>
      </c>
      <c r="E208" s="3" t="s">
        <v>608</v>
      </c>
      <c r="F208" s="6" t="n">
        <v>335600</v>
      </c>
      <c r="G208" s="6" t="n">
        <v>261768</v>
      </c>
      <c r="H208" s="3" t="s">
        <v>1300</v>
      </c>
      <c r="I208" s="4" t="s">
        <v>1647</v>
      </c>
      <c r="J208" s="4" t="s">
        <v>1648</v>
      </c>
      <c r="K208" s="3"/>
      <c r="L208" s="3"/>
      <c r="M208" s="3"/>
      <c r="N208" s="3"/>
      <c r="O208" s="8" t="s">
        <v>27</v>
      </c>
      <c r="P208" s="3" t="s">
        <v>1649</v>
      </c>
    </row>
    <row r="209" customFormat="false" ht="46.25" hidden="false" customHeight="false" outlineLevel="0" collapsed="false">
      <c r="A209" s="15" t="s">
        <v>65</v>
      </c>
      <c r="B209" s="4" t="s">
        <v>1650</v>
      </c>
      <c r="C209" s="3" t="s">
        <v>382</v>
      </c>
      <c r="D209" s="3" t="s">
        <v>227</v>
      </c>
      <c r="E209" s="3" t="s">
        <v>608</v>
      </c>
      <c r="F209" s="6" t="n">
        <v>283400</v>
      </c>
      <c r="G209" s="6" t="n">
        <v>255060</v>
      </c>
      <c r="H209" s="3" t="s">
        <v>1168</v>
      </c>
      <c r="I209" s="4" t="s">
        <v>1651</v>
      </c>
      <c r="J209" s="4" t="s">
        <v>1652</v>
      </c>
      <c r="K209" s="3" t="s">
        <v>381</v>
      </c>
      <c r="L209" s="3" t="s">
        <v>509</v>
      </c>
      <c r="M209" s="3" t="s">
        <v>1511</v>
      </c>
      <c r="N209" s="3" t="s">
        <v>1512</v>
      </c>
      <c r="O209" s="8" t="s">
        <v>27</v>
      </c>
      <c r="P209" s="3" t="s">
        <v>1653</v>
      </c>
    </row>
    <row r="210" customFormat="false" ht="91" hidden="false" customHeight="false" outlineLevel="0" collapsed="false">
      <c r="A210" s="15" t="s">
        <v>65</v>
      </c>
      <c r="B210" s="4" t="s">
        <v>1654</v>
      </c>
      <c r="C210" s="3" t="s">
        <v>302</v>
      </c>
      <c r="D210" s="3" t="s">
        <v>717</v>
      </c>
      <c r="E210" s="3" t="s">
        <v>501</v>
      </c>
      <c r="F210" s="6" t="n">
        <v>271800</v>
      </c>
      <c r="G210" s="6" t="n">
        <v>244620</v>
      </c>
      <c r="H210" s="3" t="s">
        <v>1300</v>
      </c>
      <c r="I210" s="4" t="s">
        <v>1655</v>
      </c>
      <c r="J210" s="4" t="s">
        <v>1656</v>
      </c>
      <c r="K210" s="3" t="s">
        <v>301</v>
      </c>
      <c r="L210" s="3" t="s">
        <v>509</v>
      </c>
      <c r="M210" s="3"/>
      <c r="N210" s="3" t="s">
        <v>1244</v>
      </c>
      <c r="O210" s="8" t="s">
        <v>27</v>
      </c>
      <c r="P210" s="3" t="s">
        <v>1657</v>
      </c>
    </row>
    <row r="211" customFormat="false" ht="79.85" hidden="false" customHeight="false" outlineLevel="0" collapsed="false">
      <c r="A211" s="15" t="s">
        <v>65</v>
      </c>
      <c r="B211" s="4" t="s">
        <v>1658</v>
      </c>
      <c r="C211" s="3" t="s">
        <v>1659</v>
      </c>
      <c r="D211" s="3" t="s">
        <v>227</v>
      </c>
      <c r="E211" s="3" t="s">
        <v>608</v>
      </c>
      <c r="F211" s="6" t="n">
        <v>270500</v>
      </c>
      <c r="G211" s="6" t="n">
        <v>243450</v>
      </c>
      <c r="H211" s="3" t="s">
        <v>1309</v>
      </c>
      <c r="I211" s="4" t="s">
        <v>1660</v>
      </c>
      <c r="J211" s="4" t="s">
        <v>1455</v>
      </c>
      <c r="K211" s="3"/>
      <c r="L211" s="3"/>
      <c r="M211" s="3"/>
      <c r="N211" s="3"/>
      <c r="O211" s="8" t="s">
        <v>27</v>
      </c>
      <c r="P211" s="3" t="s">
        <v>1661</v>
      </c>
    </row>
    <row r="212" customFormat="false" ht="68.65" hidden="false" customHeight="false" outlineLevel="0" collapsed="false">
      <c r="A212" s="15" t="s">
        <v>65</v>
      </c>
      <c r="B212" s="4" t="s">
        <v>1662</v>
      </c>
      <c r="C212" s="3" t="s">
        <v>376</v>
      </c>
      <c r="D212" s="3" t="s">
        <v>73</v>
      </c>
      <c r="E212" s="3" t="s">
        <v>667</v>
      </c>
      <c r="F212" s="6" t="n">
        <v>260900</v>
      </c>
      <c r="G212" s="6" t="n">
        <v>234810</v>
      </c>
      <c r="H212" s="3" t="s">
        <v>1168</v>
      </c>
      <c r="I212" s="4" t="s">
        <v>1475</v>
      </c>
      <c r="J212" s="4" t="s">
        <v>1663</v>
      </c>
      <c r="K212" s="3" t="s">
        <v>375</v>
      </c>
      <c r="L212" s="3" t="s">
        <v>509</v>
      </c>
      <c r="M212" s="3" t="s">
        <v>1477</v>
      </c>
      <c r="N212" s="3" t="s">
        <v>1478</v>
      </c>
      <c r="O212" s="8" t="s">
        <v>27</v>
      </c>
      <c r="P212" s="3" t="s">
        <v>1664</v>
      </c>
    </row>
    <row r="213" customFormat="false" ht="46.25" hidden="false" customHeight="false" outlineLevel="0" collapsed="false">
      <c r="A213" s="15" t="s">
        <v>65</v>
      </c>
      <c r="B213" s="4" t="s">
        <v>1665</v>
      </c>
      <c r="C213" s="3" t="s">
        <v>333</v>
      </c>
      <c r="D213" s="3" t="s">
        <v>748</v>
      </c>
      <c r="E213" s="3" t="s">
        <v>501</v>
      </c>
      <c r="F213" s="6" t="n">
        <v>250500</v>
      </c>
      <c r="G213" s="6" t="n">
        <v>225450</v>
      </c>
      <c r="H213" s="3" t="s">
        <v>718</v>
      </c>
      <c r="I213" s="4" t="s">
        <v>1666</v>
      </c>
      <c r="J213" s="4" t="s">
        <v>1667</v>
      </c>
      <c r="K213" s="3" t="s">
        <v>332</v>
      </c>
      <c r="L213" s="3" t="s">
        <v>509</v>
      </c>
      <c r="M213" s="3"/>
      <c r="N213" s="3" t="s">
        <v>534</v>
      </c>
      <c r="O213" s="8" t="s">
        <v>27</v>
      </c>
      <c r="P213" s="3" t="s">
        <v>1668</v>
      </c>
    </row>
    <row r="214" customFormat="false" ht="57.45" hidden="false" customHeight="false" outlineLevel="0" collapsed="false">
      <c r="A214" s="15" t="s">
        <v>65</v>
      </c>
      <c r="B214" s="4" t="s">
        <v>415</v>
      </c>
      <c r="C214" s="3" t="s">
        <v>414</v>
      </c>
      <c r="D214" s="3" t="s">
        <v>748</v>
      </c>
      <c r="E214" s="3" t="s">
        <v>573</v>
      </c>
      <c r="F214" s="6" t="n">
        <v>246600</v>
      </c>
      <c r="G214" s="6" t="n">
        <v>221940</v>
      </c>
      <c r="H214" s="3" t="s">
        <v>1300</v>
      </c>
      <c r="I214" s="4" t="s">
        <v>1669</v>
      </c>
      <c r="J214" s="4" t="s">
        <v>1670</v>
      </c>
      <c r="K214" s="3" t="s">
        <v>413</v>
      </c>
      <c r="L214" s="3" t="s">
        <v>509</v>
      </c>
      <c r="M214" s="3"/>
      <c r="N214" s="3" t="s">
        <v>1671</v>
      </c>
      <c r="O214" s="8" t="s">
        <v>27</v>
      </c>
      <c r="P214" s="3" t="s">
        <v>1672</v>
      </c>
    </row>
    <row r="215" customFormat="false" ht="57.45" hidden="false" customHeight="false" outlineLevel="0" collapsed="false">
      <c r="A215" s="15" t="s">
        <v>65</v>
      </c>
      <c r="B215" s="4" t="s">
        <v>1673</v>
      </c>
      <c r="C215" s="3" t="s">
        <v>146</v>
      </c>
      <c r="D215" s="3" t="s">
        <v>717</v>
      </c>
      <c r="E215" s="3" t="s">
        <v>608</v>
      </c>
      <c r="F215" s="6" t="n">
        <v>234000</v>
      </c>
      <c r="G215" s="6" t="n">
        <v>210600</v>
      </c>
      <c r="H215" s="3" t="s">
        <v>1300</v>
      </c>
      <c r="I215" s="4" t="s">
        <v>1674</v>
      </c>
      <c r="J215" s="4" t="s">
        <v>1675</v>
      </c>
      <c r="K215" s="3" t="s">
        <v>145</v>
      </c>
      <c r="L215" s="3" t="s">
        <v>509</v>
      </c>
      <c r="M215" s="3" t="s">
        <v>721</v>
      </c>
      <c r="N215" s="3" t="s">
        <v>722</v>
      </c>
      <c r="O215" s="8" t="s">
        <v>27</v>
      </c>
      <c r="P215" s="3" t="s">
        <v>1676</v>
      </c>
    </row>
    <row r="216" customFormat="false" ht="46.25" hidden="false" customHeight="false" outlineLevel="0" collapsed="false">
      <c r="A216" s="15" t="s">
        <v>65</v>
      </c>
      <c r="B216" s="4" t="s">
        <v>1677</v>
      </c>
      <c r="C216" s="3" t="s">
        <v>807</v>
      </c>
      <c r="D216" s="3" t="s">
        <v>807</v>
      </c>
      <c r="E216" s="3" t="s">
        <v>539</v>
      </c>
      <c r="F216" s="6" t="n">
        <v>232200</v>
      </c>
      <c r="G216" s="6" t="n">
        <v>208980</v>
      </c>
      <c r="H216" s="3" t="s">
        <v>718</v>
      </c>
      <c r="I216" s="4" t="s">
        <v>1678</v>
      </c>
      <c r="J216" s="4" t="s">
        <v>1679</v>
      </c>
      <c r="K216" s="3" t="s">
        <v>181</v>
      </c>
      <c r="L216" s="3" t="s">
        <v>515</v>
      </c>
      <c r="M216" s="3"/>
      <c r="N216" s="3" t="s">
        <v>1680</v>
      </c>
      <c r="O216" s="8" t="s">
        <v>27</v>
      </c>
      <c r="P216" s="3" t="s">
        <v>1681</v>
      </c>
    </row>
    <row r="217" customFormat="false" ht="35.05" hidden="false" customHeight="false" outlineLevel="0" collapsed="false">
      <c r="A217" s="15" t="s">
        <v>65</v>
      </c>
      <c r="B217" s="4" t="s">
        <v>418</v>
      </c>
      <c r="C217" s="3" t="s">
        <v>417</v>
      </c>
      <c r="D217" s="3" t="s">
        <v>1682</v>
      </c>
      <c r="E217" s="3" t="s">
        <v>584</v>
      </c>
      <c r="F217" s="6" t="n">
        <v>230500</v>
      </c>
      <c r="G217" s="6" t="n">
        <v>207450</v>
      </c>
      <c r="H217" s="3" t="s">
        <v>1300</v>
      </c>
      <c r="I217" s="4" t="s">
        <v>1683</v>
      </c>
      <c r="J217" s="4" t="s">
        <v>1684</v>
      </c>
      <c r="K217" s="3" t="s">
        <v>416</v>
      </c>
      <c r="L217" s="3" t="s">
        <v>509</v>
      </c>
      <c r="M217" s="3" t="s">
        <v>1685</v>
      </c>
      <c r="N217" s="3" t="s">
        <v>1686</v>
      </c>
      <c r="O217" s="8" t="s">
        <v>27</v>
      </c>
      <c r="P217" s="3" t="s">
        <v>1687</v>
      </c>
    </row>
    <row r="218" customFormat="false" ht="57.45" hidden="false" customHeight="false" outlineLevel="0" collapsed="false">
      <c r="A218" s="15" t="s">
        <v>65</v>
      </c>
      <c r="B218" s="4" t="s">
        <v>421</v>
      </c>
      <c r="C218" s="3" t="s">
        <v>420</v>
      </c>
      <c r="D218" s="3" t="s">
        <v>942</v>
      </c>
      <c r="E218" s="3" t="s">
        <v>691</v>
      </c>
      <c r="F218" s="6" t="n">
        <v>217900</v>
      </c>
      <c r="G218" s="6" t="n">
        <v>196110</v>
      </c>
      <c r="H218" s="3" t="s">
        <v>985</v>
      </c>
      <c r="I218" s="4" t="s">
        <v>1688</v>
      </c>
      <c r="J218" s="4" t="s">
        <v>1689</v>
      </c>
      <c r="K218" s="3" t="s">
        <v>419</v>
      </c>
      <c r="L218" s="3" t="s">
        <v>509</v>
      </c>
      <c r="M218" s="3" t="s">
        <v>1502</v>
      </c>
      <c r="N218" s="3" t="s">
        <v>1690</v>
      </c>
      <c r="O218" s="8" t="s">
        <v>27</v>
      </c>
      <c r="P218" s="3" t="s">
        <v>1691</v>
      </c>
    </row>
    <row r="219" customFormat="false" ht="68.65" hidden="false" customHeight="false" outlineLevel="0" collapsed="false">
      <c r="A219" s="15" t="s">
        <v>65</v>
      </c>
      <c r="B219" s="4" t="s">
        <v>424</v>
      </c>
      <c r="C219" s="3" t="s">
        <v>423</v>
      </c>
      <c r="D219" s="3" t="s">
        <v>227</v>
      </c>
      <c r="E219" s="3" t="s">
        <v>573</v>
      </c>
      <c r="F219" s="6" t="n">
        <v>177100</v>
      </c>
      <c r="G219" s="6" t="n">
        <v>159390</v>
      </c>
      <c r="H219" s="3" t="s">
        <v>1300</v>
      </c>
      <c r="I219" s="4" t="s">
        <v>1692</v>
      </c>
      <c r="J219" s="4" t="s">
        <v>1510</v>
      </c>
      <c r="K219" s="3" t="s">
        <v>422</v>
      </c>
      <c r="L219" s="3" t="s">
        <v>509</v>
      </c>
      <c r="M219" s="3"/>
      <c r="N219" s="3" t="s">
        <v>1693</v>
      </c>
      <c r="O219" s="8" t="s">
        <v>27</v>
      </c>
      <c r="P219" s="3" t="s">
        <v>1694</v>
      </c>
    </row>
    <row r="220" customFormat="false" ht="57.45" hidden="false" customHeight="false" outlineLevel="0" collapsed="false">
      <c r="A220" s="15" t="s">
        <v>65</v>
      </c>
      <c r="B220" s="4" t="s">
        <v>1695</v>
      </c>
      <c r="C220" s="3" t="s">
        <v>423</v>
      </c>
      <c r="D220" s="3" t="s">
        <v>227</v>
      </c>
      <c r="E220" s="3" t="s">
        <v>608</v>
      </c>
      <c r="F220" s="6" t="n">
        <v>160200</v>
      </c>
      <c r="G220" s="6" t="n">
        <v>144180</v>
      </c>
      <c r="H220" s="3" t="s">
        <v>1168</v>
      </c>
      <c r="I220" s="4" t="s">
        <v>1696</v>
      </c>
      <c r="J220" s="4" t="s">
        <v>1697</v>
      </c>
      <c r="K220" s="3" t="s">
        <v>422</v>
      </c>
      <c r="L220" s="3" t="s">
        <v>509</v>
      </c>
      <c r="M220" s="3"/>
      <c r="N220" s="3" t="s">
        <v>1693</v>
      </c>
      <c r="O220" s="8" t="s">
        <v>27</v>
      </c>
      <c r="P220" s="3" t="s">
        <v>1698</v>
      </c>
    </row>
    <row r="221" customFormat="false" ht="35.05" hidden="false" customHeight="false" outlineLevel="0" collapsed="false">
      <c r="A221" s="15" t="s">
        <v>65</v>
      </c>
      <c r="B221" s="4" t="s">
        <v>1699</v>
      </c>
      <c r="C221" s="3" t="s">
        <v>1234</v>
      </c>
      <c r="D221" s="3" t="s">
        <v>194</v>
      </c>
      <c r="E221" s="3" t="s">
        <v>667</v>
      </c>
      <c r="F221" s="6" t="n">
        <v>174000</v>
      </c>
      <c r="G221" s="6" t="n">
        <v>135000</v>
      </c>
      <c r="H221" s="3" t="s">
        <v>718</v>
      </c>
      <c r="I221" s="4" t="s">
        <v>1700</v>
      </c>
      <c r="J221" s="4" t="s">
        <v>1701</v>
      </c>
      <c r="K221" s="3"/>
      <c r="L221" s="3"/>
      <c r="M221" s="3"/>
      <c r="N221" s="3"/>
      <c r="O221" s="8" t="s">
        <v>27</v>
      </c>
      <c r="P221" s="3" t="s">
        <v>1702</v>
      </c>
    </row>
    <row r="222" customFormat="false" ht="46.25" hidden="false" customHeight="false" outlineLevel="0" collapsed="false">
      <c r="A222" s="15" t="s">
        <v>65</v>
      </c>
      <c r="B222" s="4" t="s">
        <v>1703</v>
      </c>
      <c r="C222" s="3" t="s">
        <v>257</v>
      </c>
      <c r="D222" s="3" t="s">
        <v>257</v>
      </c>
      <c r="E222" s="3" t="s">
        <v>667</v>
      </c>
      <c r="F222" s="6" t="n">
        <v>147200</v>
      </c>
      <c r="G222" s="6" t="n">
        <v>132480</v>
      </c>
      <c r="H222" s="3" t="s">
        <v>718</v>
      </c>
      <c r="I222" s="4" t="s">
        <v>1704</v>
      </c>
      <c r="J222" s="4" t="s">
        <v>1705</v>
      </c>
      <c r="K222" s="3" t="s">
        <v>256</v>
      </c>
      <c r="L222" s="3" t="s">
        <v>509</v>
      </c>
      <c r="M222" s="3" t="s">
        <v>1022</v>
      </c>
      <c r="N222" s="3" t="s">
        <v>1023</v>
      </c>
      <c r="O222" s="8" t="s">
        <v>27</v>
      </c>
      <c r="P222" s="3" t="s">
        <v>1706</v>
      </c>
    </row>
    <row r="223" customFormat="false" ht="46.25" hidden="false" customHeight="false" outlineLevel="0" collapsed="false">
      <c r="A223" s="15" t="s">
        <v>65</v>
      </c>
      <c r="B223" s="4" t="s">
        <v>1707</v>
      </c>
      <c r="C223" s="3" t="s">
        <v>376</v>
      </c>
      <c r="D223" s="3" t="s">
        <v>73</v>
      </c>
      <c r="E223" s="3" t="s">
        <v>667</v>
      </c>
      <c r="F223" s="6" t="n">
        <v>131900</v>
      </c>
      <c r="G223" s="6" t="n">
        <v>118710</v>
      </c>
      <c r="H223" s="3" t="s">
        <v>1309</v>
      </c>
      <c r="I223" s="4" t="s">
        <v>1475</v>
      </c>
      <c r="J223" s="4" t="s">
        <v>1708</v>
      </c>
      <c r="K223" s="3" t="s">
        <v>375</v>
      </c>
      <c r="L223" s="3" t="s">
        <v>509</v>
      </c>
      <c r="M223" s="3" t="s">
        <v>1477</v>
      </c>
      <c r="N223" s="3" t="s">
        <v>1478</v>
      </c>
      <c r="O223" s="8" t="s">
        <v>27</v>
      </c>
      <c r="P223" s="3" t="s">
        <v>1709</v>
      </c>
    </row>
    <row r="224" customFormat="false" ht="91" hidden="false" customHeight="false" outlineLevel="0" collapsed="false">
      <c r="A224" s="15" t="s">
        <v>65</v>
      </c>
      <c r="B224" s="4" t="s">
        <v>427</v>
      </c>
      <c r="C224" s="3" t="s">
        <v>426</v>
      </c>
      <c r="D224" s="3" t="s">
        <v>717</v>
      </c>
      <c r="E224" s="3" t="s">
        <v>573</v>
      </c>
      <c r="F224" s="6" t="n">
        <v>121100</v>
      </c>
      <c r="G224" s="6" t="n">
        <v>108990</v>
      </c>
      <c r="H224" s="3" t="s">
        <v>718</v>
      </c>
      <c r="I224" s="4" t="s">
        <v>1710</v>
      </c>
      <c r="J224" s="4" t="s">
        <v>1711</v>
      </c>
      <c r="K224" s="3" t="s">
        <v>425</v>
      </c>
      <c r="L224" s="3" t="s">
        <v>509</v>
      </c>
      <c r="M224" s="3"/>
      <c r="N224" s="3" t="s">
        <v>1712</v>
      </c>
      <c r="O224" s="8" t="s">
        <v>27</v>
      </c>
      <c r="P224" s="3" t="s">
        <v>1713</v>
      </c>
    </row>
    <row r="225" customFormat="false" ht="102.2" hidden="false" customHeight="false" outlineLevel="0" collapsed="false">
      <c r="A225" s="15" t="s">
        <v>65</v>
      </c>
      <c r="B225" s="4" t="s">
        <v>1714</v>
      </c>
      <c r="C225" s="3" t="s">
        <v>1234</v>
      </c>
      <c r="D225" s="3" t="s">
        <v>194</v>
      </c>
      <c r="E225" s="3" t="s">
        <v>501</v>
      </c>
      <c r="F225" s="6" t="n">
        <v>130500</v>
      </c>
      <c r="G225" s="6" t="n">
        <v>101250</v>
      </c>
      <c r="H225" s="3" t="s">
        <v>718</v>
      </c>
      <c r="I225" s="4" t="s">
        <v>1715</v>
      </c>
      <c r="J225" s="4" t="s">
        <v>1716</v>
      </c>
      <c r="K225" s="3"/>
      <c r="L225" s="3"/>
      <c r="M225" s="3"/>
      <c r="N225" s="3"/>
      <c r="O225" s="8" t="s">
        <v>27</v>
      </c>
      <c r="P225" s="3" t="s">
        <v>1717</v>
      </c>
    </row>
    <row r="226" customFormat="false" ht="35.05" hidden="false" customHeight="false" outlineLevel="0" collapsed="false">
      <c r="A226" s="15" t="s">
        <v>65</v>
      </c>
      <c r="B226" s="4" t="s">
        <v>1718</v>
      </c>
      <c r="C226" s="3" t="s">
        <v>411</v>
      </c>
      <c r="D226" s="3" t="s">
        <v>272</v>
      </c>
      <c r="E226" s="3" t="s">
        <v>573</v>
      </c>
      <c r="F226" s="6" t="n">
        <v>200000</v>
      </c>
      <c r="G226" s="6" t="n">
        <v>100000</v>
      </c>
      <c r="H226" s="3" t="s">
        <v>718</v>
      </c>
      <c r="I226" s="4" t="s">
        <v>1719</v>
      </c>
      <c r="J226" s="4" t="s">
        <v>1720</v>
      </c>
      <c r="K226" s="3" t="s">
        <v>410</v>
      </c>
      <c r="L226" s="3" t="s">
        <v>515</v>
      </c>
      <c r="M226" s="3" t="s">
        <v>1619</v>
      </c>
      <c r="N226" s="3" t="s">
        <v>1620</v>
      </c>
      <c r="O226" s="8" t="s">
        <v>27</v>
      </c>
      <c r="P226" s="3" t="s">
        <v>1721</v>
      </c>
    </row>
    <row r="227" customFormat="false" ht="35.05" hidden="false" customHeight="false" outlineLevel="0" collapsed="false">
      <c r="A227" s="15" t="s">
        <v>65</v>
      </c>
      <c r="B227" s="4" t="s">
        <v>1722</v>
      </c>
      <c r="C227" s="3" t="s">
        <v>299</v>
      </c>
      <c r="D227" s="3" t="s">
        <v>299</v>
      </c>
      <c r="E227" s="3" t="s">
        <v>501</v>
      </c>
      <c r="F227" s="6" t="n">
        <v>110000</v>
      </c>
      <c r="G227" s="6" t="n">
        <v>99000</v>
      </c>
      <c r="H227" s="3" t="s">
        <v>718</v>
      </c>
      <c r="I227" s="4" t="s">
        <v>1723</v>
      </c>
      <c r="J227" s="4" t="s">
        <v>1724</v>
      </c>
      <c r="K227" s="3" t="s">
        <v>298</v>
      </c>
      <c r="L227" s="3" t="s">
        <v>509</v>
      </c>
      <c r="M227" s="3" t="s">
        <v>1224</v>
      </c>
      <c r="N227" s="3" t="s">
        <v>1225</v>
      </c>
      <c r="O227" s="8" t="s">
        <v>27</v>
      </c>
      <c r="P227" s="3" t="s">
        <v>1725</v>
      </c>
    </row>
    <row r="228" customFormat="false" ht="35.05" hidden="false" customHeight="false" outlineLevel="0" collapsed="false">
      <c r="A228" s="15" t="s">
        <v>65</v>
      </c>
      <c r="B228" s="4" t="s">
        <v>1726</v>
      </c>
      <c r="C228" s="3" t="s">
        <v>443</v>
      </c>
      <c r="D228" s="3" t="s">
        <v>88</v>
      </c>
      <c r="E228" s="3" t="s">
        <v>667</v>
      </c>
      <c r="F228" s="6" t="n">
        <v>51100</v>
      </c>
      <c r="G228" s="6" t="n">
        <v>45990</v>
      </c>
      <c r="H228" s="3" t="s">
        <v>718</v>
      </c>
      <c r="I228" s="4" t="s">
        <v>1727</v>
      </c>
      <c r="J228" s="4" t="s">
        <v>1728</v>
      </c>
      <c r="K228" s="3" t="s">
        <v>442</v>
      </c>
      <c r="L228" s="3" t="s">
        <v>509</v>
      </c>
      <c r="M228" s="3" t="s">
        <v>582</v>
      </c>
      <c r="N228" s="3" t="s">
        <v>583</v>
      </c>
      <c r="O228" s="8" t="s">
        <v>27</v>
      </c>
      <c r="P228" s="3" t="s">
        <v>1729</v>
      </c>
    </row>
    <row r="229" customFormat="false" ht="35.05" hidden="false" customHeight="false" outlineLevel="0" collapsed="false">
      <c r="A229" s="15" t="s">
        <v>65</v>
      </c>
      <c r="B229" s="4" t="s">
        <v>1730</v>
      </c>
      <c r="C229" s="3" t="s">
        <v>1731</v>
      </c>
      <c r="D229" s="3" t="s">
        <v>194</v>
      </c>
      <c r="E229" s="3" t="s">
        <v>501</v>
      </c>
      <c r="F229" s="6" t="n">
        <v>50700</v>
      </c>
      <c r="G229" s="6" t="n">
        <v>45630</v>
      </c>
      <c r="H229" s="3" t="s">
        <v>718</v>
      </c>
      <c r="I229" s="4" t="s">
        <v>1732</v>
      </c>
      <c r="J229" s="4" t="s">
        <v>1733</v>
      </c>
      <c r="K229" s="3"/>
      <c r="L229" s="3"/>
      <c r="M229" s="3"/>
      <c r="N229" s="3"/>
      <c r="O229" s="8" t="s">
        <v>27</v>
      </c>
      <c r="P229" s="3" t="s">
        <v>1734</v>
      </c>
    </row>
  </sheetData>
  <autoFilter ref="A1:N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8" t="s">
        <v>1735</v>
      </c>
    </row>
    <row r="2" customFormat="false" ht="23.85" hidden="false" customHeight="false" outlineLevel="0" collapsed="false">
      <c r="A2" s="19" t="s">
        <v>1736</v>
      </c>
    </row>
    <row r="3" customFormat="false" ht="23.85" hidden="false" customHeight="false" outlineLevel="0" collapsed="false">
      <c r="A3" s="19" t="s">
        <v>1737</v>
      </c>
    </row>
    <row r="4" customFormat="false" ht="23.85" hidden="false" customHeight="false" outlineLevel="0" collapsed="false">
      <c r="A4" s="19" t="s">
        <v>1738</v>
      </c>
    </row>
    <row r="5" customFormat="false" ht="15" hidden="false" customHeight="false" outlineLevel="0" collapsed="false">
      <c r="A5" s="19" t="s">
        <v>1739</v>
      </c>
    </row>
    <row r="6" customFormat="false" ht="15" hidden="false" customHeight="false" outlineLevel="0" collapsed="false">
      <c r="A6" s="19" t="s">
        <v>1740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2026-10-30T15:37:08Z</dcterms:created>
  <dc:creator>openpyxl</dc:creator>
  <dc:description/>
  <dc:language>en-US</dc:language>
  <cp:lastModifiedBy/>
  <dcterms:modified xsi:type="dcterms:W3CDTF">2026-10-30T15:37:09Z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